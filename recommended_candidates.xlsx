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 Candidates" sheetId="1" state="visible" r:id="rId1"/>
    <sheet name="Analytics" sheetId="2" state="visible" r:id="rId2"/>
    <sheet name="Dashboard" sheetId="3" state="visible" r:id="rId3"/>
  </sheets>
  <definedNames>
    <definedName name="_xlnm._FilterDatabase" localSheetId="0" hidden="1">'Recommended Candidates'!$A$1:$O$101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sz val="10"/>
    </font>
    <font>
      <name val="Segoe UI"/>
      <b val="1"/>
      <sz val="11"/>
    </font>
    <font>
      <name val="Segoe UI"/>
      <b val="1"/>
      <color rgb="00475569"/>
      <sz val="9"/>
    </font>
    <font>
      <name val="Segoe UI"/>
      <b val="1"/>
      <color rgb="001E3A8A"/>
      <sz val="18"/>
    </font>
    <font>
      <name val="Segoe UI"/>
      <b val="1"/>
      <color rgb="001E3A8A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Segoe UI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Segoe UI"/>
        <b val="1"/>
        <color rgb="0092400E"/>
      </font>
      <fill>
        <patternFill patternType="solid">
          <fgColor rgb="00FEF3C7"/>
          <bgColor rgb="00FEF3C7"/>
        </patternFill>
      </fill>
    </dxf>
    <dxf>
      <font>
        <name val="Segoe UI"/>
        <b val="1"/>
        <color rgb="00991B1B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Suitability Profile Breakdown</a:t>
            </a:r>
          </a:p>
        </rich>
      </tx>
    </title>
    <plotArea>
      <pieChart>
        <varyColors val="1"/>
        <ser>
          <idx val="0"/>
          <order val="0"/>
          <tx>
            <strRef>
              <f>'Analytics'!B8</f>
            </strRef>
          </tx>
          <spPr>
            <a:ln>
              <a:prstDash val="solid"/>
            </a:ln>
          </spPr>
          <cat>
            <numRef>
              <f>'Analytics'!$A$9:$A$12</f>
            </numRef>
          </cat>
          <val>
            <numRef>
              <f>'Analytics'!$B$9:$B$12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Candidate Match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'Recommended Candidates'!E1</f>
            </strRef>
          </tx>
          <spPr>
            <a:ln>
              <a:prstDash val="solid"/>
            </a:ln>
          </spPr>
          <cat>
            <numRef>
              <f>'Recommended Candidates'!$C$2:$C$11</f>
            </numRef>
          </cat>
          <val>
            <numRef>
              <f>'Recommended Candidates'!$E$2:$E$11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Candidate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Overall Score (0-100)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Candidate Suitability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'Analytics'!B16</f>
            </strRef>
          </tx>
          <spPr>
            <a:ln>
              <a:prstDash val="solid"/>
            </a:ln>
          </spPr>
          <cat>
            <numRef>
              <f>'Analytics'!$A$17:$A$21</f>
            </numRef>
          </cat>
          <val>
            <numRef>
              <f>'Analytics'!$B$17:$B$21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Overall Score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Candidates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Hiring Funnel Analytics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'Dashboard'!B16</f>
            </strRef>
          </tx>
          <spPr>
            <a:ln>
              <a:prstDash val="solid"/>
            </a:ln>
          </spPr>
          <cat>
            <numRef>
              <f>'Dashboard'!$A$17:$A$20</f>
            </numRef>
          </cat>
          <val>
            <numRef>
              <f>'Dashboard'!$B$17:$B$20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Recruitment 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Candidate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43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2" customWidth="1" min="3" max="3"/>
    <col width="39" customWidth="1" min="4" max="4"/>
    <col width="16" customWidth="1" min="5" max="5"/>
    <col width="17" customWidth="1" min="6" max="6"/>
    <col width="15" customWidth="1" min="7" max="7"/>
    <col width="19" customWidth="1" min="8" max="8"/>
    <col width="18" customWidth="1" min="9" max="9"/>
    <col width="15" customWidth="1" min="10" max="10"/>
    <col width="21" customWidth="1" min="11" max="11"/>
    <col width="15" customWidth="1" min="12" max="12"/>
    <col width="20" customWidth="1" min="13" max="13"/>
    <col width="45" customWidth="1" min="14" max="14"/>
    <col width="20" customWidth="1" min="15" max="15"/>
  </cols>
  <sheetData>
    <row r="1">
      <c r="A1" s="1" t="inlineStr">
        <is>
          <t>Rank</t>
        </is>
      </c>
      <c r="B1" s="1" t="inlineStr">
        <is>
          <t>Candidate ID</t>
        </is>
      </c>
      <c r="C1" s="1" t="inlineStr">
        <is>
          <t>Candidate Name</t>
        </is>
      </c>
      <c r="D1" s="1" t="inlineStr">
        <is>
          <t>Job ID</t>
        </is>
      </c>
      <c r="E1" s="1" t="inlineStr">
        <is>
          <t>Overall Score</t>
        </is>
      </c>
      <c r="F1" s="1" t="inlineStr">
        <is>
          <t>Semantic Score</t>
        </is>
      </c>
      <c r="G1" s="1" t="inlineStr">
        <is>
          <t>Skills Score</t>
        </is>
      </c>
      <c r="H1" s="1" t="inlineStr">
        <is>
          <t>Experience Score</t>
        </is>
      </c>
      <c r="I1" s="1" t="inlineStr">
        <is>
          <t>Education Score</t>
        </is>
      </c>
      <c r="J1" s="1" t="inlineStr">
        <is>
          <t>Domain Score</t>
        </is>
      </c>
      <c r="K1" s="1" t="inlineStr">
        <is>
          <t>Career Progression</t>
        </is>
      </c>
      <c r="L1" s="1" t="inlineStr">
        <is>
          <t>Availability</t>
        </is>
      </c>
      <c r="M1" s="1" t="inlineStr">
        <is>
          <t>AI Recommendation</t>
        </is>
      </c>
      <c r="N1" s="1" t="inlineStr">
        <is>
          <t>Explainability</t>
        </is>
      </c>
      <c r="O1" s="1" t="inlineStr">
        <is>
          <t>Resume Status</t>
        </is>
      </c>
    </row>
    <row r="2">
      <c r="A2" s="2" t="n">
        <v>1</v>
      </c>
      <c r="B2" s="2" t="inlineStr">
        <is>
          <t>CAND_0005260</t>
        </is>
      </c>
      <c r="C2" s="3" t="inlineStr">
        <is>
          <t>Mira Ghosh</t>
        </is>
      </c>
      <c r="D2" s="2" t="inlineStr">
        <is>
          <t>c1bccf04-709d-4e7a-a1e9-ed5669ac077f</t>
        </is>
      </c>
      <c r="E2" s="4" t="n">
        <v>83.13</v>
      </c>
      <c r="F2" s="4" t="n">
        <v>100</v>
      </c>
      <c r="G2" s="4" t="n">
        <v>30.67</v>
      </c>
      <c r="H2" s="4" t="n">
        <v>100</v>
      </c>
      <c r="I2" s="4" t="n">
        <v>100</v>
      </c>
      <c r="J2" s="4" t="n">
        <v>85</v>
      </c>
      <c r="K2" s="4" t="n">
        <v>74</v>
      </c>
      <c r="L2" s="4" t="n">
        <v>81</v>
      </c>
      <c r="M2" s="2" t="inlineStr">
        <is>
          <t>Strong Hire</t>
        </is>
      </c>
      <c r="N2" s="5" t="inlineStr">
        <is>
          <t>Senior NLP Engineer with 5.2 YOE; demonstrates 5.2 years relevant experience, with high semantic alignment to AI Engineering.</t>
        </is>
      </c>
      <c r="O2" s="2" t="inlineStr">
        <is>
          <t>Parsed Successfully</t>
        </is>
      </c>
    </row>
    <row r="3">
      <c r="A3" s="6" t="n">
        <v>2</v>
      </c>
      <c r="B3" s="6" t="inlineStr">
        <is>
          <t>CAND_0027691</t>
        </is>
      </c>
      <c r="C3" s="7" t="inlineStr">
        <is>
          <t>Ayaan Goyal</t>
        </is>
      </c>
      <c r="D3" s="6" t="inlineStr">
        <is>
          <t>c1bccf04-709d-4e7a-a1e9-ed5669ac077f</t>
        </is>
      </c>
      <c r="E3" s="8" t="n">
        <v>82.81999999999999</v>
      </c>
      <c r="F3" s="8" t="n">
        <v>100</v>
      </c>
      <c r="G3" s="8" t="n">
        <v>34.67</v>
      </c>
      <c r="H3" s="8" t="n">
        <v>100</v>
      </c>
      <c r="I3" s="8" t="n">
        <v>100</v>
      </c>
      <c r="J3" s="8" t="n">
        <v>80</v>
      </c>
      <c r="K3" s="8" t="n">
        <v>74</v>
      </c>
      <c r="L3" s="8" t="n">
        <v>63.75</v>
      </c>
      <c r="M3" s="6" t="inlineStr">
        <is>
          <t>Strong Hire</t>
        </is>
      </c>
      <c r="N3" s="9" t="inlineStr">
        <is>
          <t>NLP Engineer with 6.5 YOE; demonstrates 6.5 years relevant experience, with high semantic alignment to AI Engineering.</t>
        </is>
      </c>
      <c r="O3" s="6" t="inlineStr">
        <is>
          <t>Parsed Successfully</t>
        </is>
      </c>
    </row>
    <row r="4">
      <c r="A4" s="2" t="n">
        <v>3</v>
      </c>
      <c r="B4" s="2" t="inlineStr">
        <is>
          <t>CAND_0081846</t>
        </is>
      </c>
      <c r="C4" s="3" t="inlineStr">
        <is>
          <t>Arjun Khanna</t>
        </is>
      </c>
      <c r="D4" s="2" t="inlineStr">
        <is>
          <t>c1bccf04-709d-4e7a-a1e9-ed5669ac077f</t>
        </is>
      </c>
      <c r="E4" s="4" t="n">
        <v>82.58</v>
      </c>
      <c r="F4" s="4" t="n">
        <v>100</v>
      </c>
      <c r="G4" s="4" t="n">
        <v>26.67</v>
      </c>
      <c r="H4" s="4" t="n">
        <v>100</v>
      </c>
      <c r="I4" s="4" t="n">
        <v>100</v>
      </c>
      <c r="J4" s="4" t="n">
        <v>75</v>
      </c>
      <c r="K4" s="4" t="n">
        <v>80</v>
      </c>
      <c r="L4" s="4" t="n">
        <v>90</v>
      </c>
      <c r="M4" s="2" t="inlineStr">
        <is>
          <t>Strong Hire</t>
        </is>
      </c>
      <c r="N4" s="5" t="inlineStr">
        <is>
          <t>Lead AI Engineer with 6.7 YOE; demonstrates 6.7 years relevant experience, with high semantic alignment to AI Engineering.</t>
        </is>
      </c>
      <c r="O4" s="2" t="inlineStr">
        <is>
          <t>Parsed Successfully</t>
        </is>
      </c>
    </row>
    <row r="5">
      <c r="A5" s="6" t="n">
        <v>4</v>
      </c>
      <c r="B5" s="6" t="inlineStr">
        <is>
          <t>CAND_0052682</t>
        </is>
      </c>
      <c r="C5" s="7" t="inlineStr">
        <is>
          <t>Ira Mukherjee</t>
        </is>
      </c>
      <c r="D5" s="6" t="inlineStr">
        <is>
          <t>c1bccf04-709d-4e7a-a1e9-ed5669ac077f</t>
        </is>
      </c>
      <c r="E5" s="8" t="n">
        <v>82.38</v>
      </c>
      <c r="F5" s="8" t="n">
        <v>100</v>
      </c>
      <c r="G5" s="8" t="n">
        <v>30.67</v>
      </c>
      <c r="H5" s="8" t="n">
        <v>100</v>
      </c>
      <c r="I5" s="8" t="n">
        <v>100</v>
      </c>
      <c r="J5" s="8" t="n">
        <v>70</v>
      </c>
      <c r="K5" s="8" t="n">
        <v>80</v>
      </c>
      <c r="L5" s="8" t="n">
        <v>75</v>
      </c>
      <c r="M5" s="6" t="inlineStr">
        <is>
          <t>Strong Hire</t>
        </is>
      </c>
      <c r="N5" s="9" t="inlineStr">
        <is>
          <t>NLP Engineer with 6.6 YOE; demonstrates 6.6 years relevant experience, with high semantic alignment to AI Engineering.</t>
        </is>
      </c>
      <c r="O5" s="6" t="inlineStr">
        <is>
          <t>Parsed Successfully</t>
        </is>
      </c>
    </row>
    <row r="6">
      <c r="A6" s="2" t="n">
        <v>5</v>
      </c>
      <c r="B6" s="2" t="inlineStr">
        <is>
          <t>CAND_0081686</t>
        </is>
      </c>
      <c r="C6" s="3" t="inlineStr">
        <is>
          <t>Naina Tiwari</t>
        </is>
      </c>
      <c r="D6" s="2" t="inlineStr">
        <is>
          <t>c1bccf04-709d-4e7a-a1e9-ed5669ac077f</t>
        </is>
      </c>
      <c r="E6" s="4" t="n">
        <v>82.28</v>
      </c>
      <c r="F6" s="4" t="n">
        <v>100</v>
      </c>
      <c r="G6" s="4" t="n">
        <v>30.67</v>
      </c>
      <c r="H6" s="4" t="n">
        <v>100</v>
      </c>
      <c r="I6" s="4" t="n">
        <v>100</v>
      </c>
      <c r="J6" s="4" t="n">
        <v>80</v>
      </c>
      <c r="K6" s="4" t="n">
        <v>62</v>
      </c>
      <c r="L6" s="4" t="n">
        <v>81</v>
      </c>
      <c r="M6" s="2" t="inlineStr">
        <is>
          <t>Strong Hire</t>
        </is>
      </c>
      <c r="N6" s="5" t="inlineStr">
        <is>
          <t>Search Engineer with 6.0 YOE; demonstrates 6.0 years relevant experience, with high semantic alignment to AI Engineering.</t>
        </is>
      </c>
      <c r="O6" s="2" t="inlineStr">
        <is>
          <t>Parsed Successfully</t>
        </is>
      </c>
    </row>
    <row r="7">
      <c r="A7" s="6" t="n">
        <v>6</v>
      </c>
      <c r="B7" s="6" t="inlineStr">
        <is>
          <t>CAND_0046064</t>
        </is>
      </c>
      <c r="C7" s="7" t="inlineStr">
        <is>
          <t>Saanvi Naidu</t>
        </is>
      </c>
      <c r="D7" s="6" t="inlineStr">
        <is>
          <t>c1bccf04-709d-4e7a-a1e9-ed5669ac077f</t>
        </is>
      </c>
      <c r="E7" s="8" t="n">
        <v>81.81</v>
      </c>
      <c r="F7" s="8" t="n">
        <v>100</v>
      </c>
      <c r="G7" s="8" t="n">
        <v>21.78</v>
      </c>
      <c r="H7" s="8" t="n">
        <v>100</v>
      </c>
      <c r="I7" s="8" t="n">
        <v>100</v>
      </c>
      <c r="J7" s="8" t="n">
        <v>85</v>
      </c>
      <c r="K7" s="8" t="n">
        <v>74</v>
      </c>
      <c r="L7" s="8" t="n">
        <v>90</v>
      </c>
      <c r="M7" s="6" t="inlineStr">
        <is>
          <t>Strong Hire</t>
        </is>
      </c>
      <c r="N7" s="9" t="inlineStr">
        <is>
          <t>Senior NLP Engineer with 8.9 YOE; demonstrates 8.9 years relevant experience, with high semantic alignment to AI Engineering.</t>
        </is>
      </c>
      <c r="O7" s="6" t="inlineStr">
        <is>
          <t>Parsed Successfully</t>
        </is>
      </c>
    </row>
    <row r="8">
      <c r="A8" s="2" t="n">
        <v>7</v>
      </c>
      <c r="B8" s="2" t="inlineStr">
        <is>
          <t>CAND_0039838</t>
        </is>
      </c>
      <c r="C8" s="3" t="inlineStr">
        <is>
          <t>Mira Trivedi</t>
        </is>
      </c>
      <c r="D8" s="2" t="inlineStr">
        <is>
          <t>c1bccf04-709d-4e7a-a1e9-ed5669ac077f</t>
        </is>
      </c>
      <c r="E8" s="4" t="n">
        <v>81.23</v>
      </c>
      <c r="F8" s="4" t="n">
        <v>100</v>
      </c>
      <c r="G8" s="4" t="n">
        <v>25.78</v>
      </c>
      <c r="H8" s="4" t="n">
        <v>98.5</v>
      </c>
      <c r="I8" s="4" t="n">
        <v>100</v>
      </c>
      <c r="J8" s="4" t="n">
        <v>80</v>
      </c>
      <c r="K8" s="4" t="n">
        <v>74</v>
      </c>
      <c r="L8" s="4" t="n">
        <v>72</v>
      </c>
      <c r="M8" s="2" t="inlineStr">
        <is>
          <t>Strong Hire</t>
        </is>
      </c>
      <c r="N8" s="5" t="inlineStr">
        <is>
          <t>Recommendation Systems Engineer with 4.9 YOE; demonstrates 4.9 years relevant experience, with high semantic alignment to AI Engineering (Note: 90 days notice).</t>
        </is>
      </c>
      <c r="O8" s="2" t="inlineStr">
        <is>
          <t>Parsed Successfully</t>
        </is>
      </c>
    </row>
    <row r="9">
      <c r="A9" s="6" t="n">
        <v>8</v>
      </c>
      <c r="B9" s="6" t="inlineStr">
        <is>
          <t>CAND_0011687</t>
        </is>
      </c>
      <c r="C9" s="7" t="inlineStr">
        <is>
          <t>Shreya Tiwari</t>
        </is>
      </c>
      <c r="D9" s="6" t="inlineStr">
        <is>
          <t>c1bccf04-709d-4e7a-a1e9-ed5669ac077f</t>
        </is>
      </c>
      <c r="E9" s="8" t="n">
        <v>81.06</v>
      </c>
      <c r="F9" s="8" t="n">
        <v>100</v>
      </c>
      <c r="G9" s="8" t="n">
        <v>17.78</v>
      </c>
      <c r="H9" s="8" t="n">
        <v>100</v>
      </c>
      <c r="I9" s="8" t="n">
        <v>100</v>
      </c>
      <c r="J9" s="8" t="n">
        <v>80</v>
      </c>
      <c r="K9" s="8" t="n">
        <v>80</v>
      </c>
      <c r="L9" s="8" t="n">
        <v>90</v>
      </c>
      <c r="M9" s="6" t="inlineStr">
        <is>
          <t>Strong Hire</t>
        </is>
      </c>
      <c r="N9" s="9" t="inlineStr">
        <is>
          <t>Senior NLP Engineer with 7.8 YOE; demonstrates 7.8 years relevant experience, with high semantic alignment to AI Engineering.</t>
        </is>
      </c>
      <c r="O9" s="6" t="inlineStr">
        <is>
          <t>Parsed Successfully</t>
        </is>
      </c>
    </row>
    <row r="10">
      <c r="A10" s="2" t="n">
        <v>9</v>
      </c>
      <c r="B10" s="2" t="inlineStr">
        <is>
          <t>CAND_0022870</t>
        </is>
      </c>
      <c r="C10" s="3" t="inlineStr">
        <is>
          <t>Krishna Menon</t>
        </is>
      </c>
      <c r="D10" s="2" t="inlineStr">
        <is>
          <t>c1bccf04-709d-4e7a-a1e9-ed5669ac077f</t>
        </is>
      </c>
      <c r="E10" s="4" t="n">
        <v>80.90000000000001</v>
      </c>
      <c r="F10" s="4" t="n">
        <v>100</v>
      </c>
      <c r="G10" s="4" t="n">
        <v>26.67</v>
      </c>
      <c r="H10" s="4" t="n">
        <v>100</v>
      </c>
      <c r="I10" s="4" t="n">
        <v>100</v>
      </c>
      <c r="J10" s="4" t="n">
        <v>80</v>
      </c>
      <c r="K10" s="4" t="n">
        <v>74</v>
      </c>
      <c r="L10" s="4" t="n">
        <v>57.38</v>
      </c>
      <c r="M10" s="2" t="inlineStr">
        <is>
          <t>Strong Hire</t>
        </is>
      </c>
      <c r="N10" s="5" t="inlineStr">
        <is>
          <t>AI Specialist with 6.7 YOE; demonstrates 6.7 years relevant experience, with high semantic alignment to AI Engineering.</t>
        </is>
      </c>
      <c r="O10" s="2" t="inlineStr">
        <is>
          <t>Parsed Successfully</t>
        </is>
      </c>
    </row>
    <row r="11">
      <c r="A11" s="6" t="n">
        <v>10</v>
      </c>
      <c r="B11" s="6" t="inlineStr">
        <is>
          <t>CAND_0008425</t>
        </is>
      </c>
      <c r="C11" s="7" t="inlineStr">
        <is>
          <t>Myra Krishnan</t>
        </is>
      </c>
      <c r="D11" s="6" t="inlineStr">
        <is>
          <t>c1bccf04-709d-4e7a-a1e9-ed5669ac077f</t>
        </is>
      </c>
      <c r="E11" s="8" t="n">
        <v>80.87</v>
      </c>
      <c r="F11" s="8" t="n">
        <v>100</v>
      </c>
      <c r="G11" s="8" t="n">
        <v>21.78</v>
      </c>
      <c r="H11" s="8" t="n">
        <v>100</v>
      </c>
      <c r="I11" s="8" t="n">
        <v>100</v>
      </c>
      <c r="J11" s="8" t="n">
        <v>85</v>
      </c>
      <c r="K11" s="8" t="n">
        <v>84</v>
      </c>
      <c r="L11" s="8" t="n">
        <v>61.2</v>
      </c>
      <c r="M11" s="6" t="inlineStr">
        <is>
          <t>Strong Hire</t>
        </is>
      </c>
      <c r="N11" s="9" t="inlineStr">
        <is>
          <t>Senior NLP Engineer with 7.8 YOE; demonstrates 7.8 years relevant experience, with high semantic alignment to AI Engineering (Note: 90 days notice).</t>
        </is>
      </c>
      <c r="O11" s="6" t="inlineStr">
        <is>
          <t>Parsed Successfully</t>
        </is>
      </c>
    </row>
    <row r="12">
      <c r="A12" s="2" t="n">
        <v>11</v>
      </c>
      <c r="B12" s="2" t="inlineStr">
        <is>
          <t>CAND_0058688</t>
        </is>
      </c>
      <c r="C12" s="3" t="inlineStr">
        <is>
          <t>Anjali Kapoor</t>
        </is>
      </c>
      <c r="D12" s="2" t="inlineStr">
        <is>
          <t>c1bccf04-709d-4e7a-a1e9-ed5669ac077f</t>
        </is>
      </c>
      <c r="E12" s="4" t="n">
        <v>80.86</v>
      </c>
      <c r="F12" s="4" t="n">
        <v>100</v>
      </c>
      <c r="G12" s="4" t="n">
        <v>21.78</v>
      </c>
      <c r="H12" s="4" t="n">
        <v>100</v>
      </c>
      <c r="I12" s="4" t="n">
        <v>100</v>
      </c>
      <c r="J12" s="4" t="n">
        <v>75</v>
      </c>
      <c r="K12" s="4" t="n">
        <v>80</v>
      </c>
      <c r="L12" s="4" t="n">
        <v>75</v>
      </c>
      <c r="M12" s="2" t="inlineStr">
        <is>
          <t>Strong Hire</t>
        </is>
      </c>
      <c r="N12" s="5" t="inlineStr">
        <is>
          <t>AI Engineer with 6.7 YOE; demonstrates 6.7 years relevant experience, with high semantic alignment to AI Engineering.</t>
        </is>
      </c>
      <c r="O12" s="2" t="inlineStr">
        <is>
          <t>Parsed Successfully</t>
        </is>
      </c>
    </row>
    <row r="13">
      <c r="A13" s="6" t="n">
        <v>12</v>
      </c>
      <c r="B13" s="6" t="inlineStr">
        <is>
          <t>CAND_0030784</t>
        </is>
      </c>
      <c r="C13" s="7" t="inlineStr">
        <is>
          <t>Ved Mukherjee</t>
        </is>
      </c>
      <c r="D13" s="6" t="inlineStr">
        <is>
          <t>c1bccf04-709d-4e7a-a1e9-ed5669ac077f</t>
        </is>
      </c>
      <c r="E13" s="8" t="n">
        <v>80.83</v>
      </c>
      <c r="F13" s="8" t="n">
        <v>100</v>
      </c>
      <c r="G13" s="8" t="n">
        <v>30.67</v>
      </c>
      <c r="H13" s="8" t="n">
        <v>91</v>
      </c>
      <c r="I13" s="8" t="n">
        <v>100</v>
      </c>
      <c r="J13" s="8" t="n">
        <v>75</v>
      </c>
      <c r="K13" s="8" t="n">
        <v>74</v>
      </c>
      <c r="L13" s="8" t="n">
        <v>72</v>
      </c>
      <c r="M13" s="6" t="inlineStr">
        <is>
          <t>Strong Hire</t>
        </is>
      </c>
      <c r="N13" s="9" t="inlineStr">
        <is>
          <t>Data Scientist with 4.4 YOE; demonstrates 4.4 years relevant experience, with high semantic alignment to AI Engineering (Note: 90 days notice).</t>
        </is>
      </c>
      <c r="O13" s="6" t="inlineStr">
        <is>
          <t>Parsed Successfully</t>
        </is>
      </c>
    </row>
    <row r="14">
      <c r="A14" s="2" t="n">
        <v>13</v>
      </c>
      <c r="B14" s="2" t="inlineStr">
        <is>
          <t>CAND_0007009</t>
        </is>
      </c>
      <c r="C14" s="3" t="inlineStr">
        <is>
          <t>Anika Pillai</t>
        </is>
      </c>
      <c r="D14" s="2" t="inlineStr">
        <is>
          <t>c1bccf04-709d-4e7a-a1e9-ed5669ac077f</t>
        </is>
      </c>
      <c r="E14" s="4" t="n">
        <v>80.79000000000001</v>
      </c>
      <c r="F14" s="4" t="n">
        <v>100</v>
      </c>
      <c r="G14" s="4" t="n">
        <v>25.78</v>
      </c>
      <c r="H14" s="4" t="n">
        <v>100</v>
      </c>
      <c r="I14" s="4" t="n">
        <v>100</v>
      </c>
      <c r="J14" s="4" t="n">
        <v>75</v>
      </c>
      <c r="K14" s="4" t="n">
        <v>74</v>
      </c>
      <c r="L14" s="4" t="n">
        <v>63.75</v>
      </c>
      <c r="M14" s="2" t="inlineStr">
        <is>
          <t>Strong Hire</t>
        </is>
      </c>
      <c r="N14" s="5" t="inlineStr">
        <is>
          <t>Recommendation Systems Engineer with 7.9 YOE; demonstrates 7.9 years relevant experience, with high semantic alignment to AI Engineering.</t>
        </is>
      </c>
      <c r="O14" s="2" t="inlineStr">
        <is>
          <t>Parsed Successfully</t>
        </is>
      </c>
    </row>
    <row r="15">
      <c r="A15" s="6" t="n">
        <v>14</v>
      </c>
      <c r="B15" s="6" t="inlineStr">
        <is>
          <t>CAND_0055905</t>
        </is>
      </c>
      <c r="C15" s="7" t="inlineStr">
        <is>
          <t>Anika Rao</t>
        </is>
      </c>
      <c r="D15" s="6" t="inlineStr">
        <is>
          <t>c1bccf04-709d-4e7a-a1e9-ed5669ac077f</t>
        </is>
      </c>
      <c r="E15" s="8" t="n">
        <v>80.76000000000001</v>
      </c>
      <c r="F15" s="8" t="n">
        <v>100</v>
      </c>
      <c r="G15" s="8" t="n">
        <v>17.78</v>
      </c>
      <c r="H15" s="8" t="n">
        <v>100</v>
      </c>
      <c r="I15" s="8" t="n">
        <v>100</v>
      </c>
      <c r="J15" s="8" t="n">
        <v>80</v>
      </c>
      <c r="K15" s="8" t="n">
        <v>74</v>
      </c>
      <c r="L15" s="8" t="n">
        <v>90</v>
      </c>
      <c r="M15" s="6" t="inlineStr">
        <is>
          <t>Strong Hire</t>
        </is>
      </c>
      <c r="N15" s="9" t="inlineStr">
        <is>
          <t>Senior Machine Learning Engineer with 8.1 YOE; demonstrates 8.1 years relevant experience, with high semantic alignment to AI Engineering.</t>
        </is>
      </c>
      <c r="O15" s="6" t="inlineStr">
        <is>
          <t>Parsed Successfully</t>
        </is>
      </c>
    </row>
    <row r="16">
      <c r="A16" s="2" t="n">
        <v>15</v>
      </c>
      <c r="B16" s="2" t="inlineStr">
        <is>
          <t>CAND_0051004</t>
        </is>
      </c>
      <c r="C16" s="3" t="inlineStr">
        <is>
          <t>Vivaan Arora</t>
        </is>
      </c>
      <c r="D16" s="2" t="inlineStr">
        <is>
          <t>c1bccf04-709d-4e7a-a1e9-ed5669ac077f</t>
        </is>
      </c>
      <c r="E16" s="4" t="n">
        <v>80.70999999999999</v>
      </c>
      <c r="F16" s="4" t="n">
        <v>100</v>
      </c>
      <c r="G16" s="4" t="n">
        <v>21.78</v>
      </c>
      <c r="H16" s="4" t="n">
        <v>95.5</v>
      </c>
      <c r="I16" s="4" t="n">
        <v>100</v>
      </c>
      <c r="J16" s="4" t="n">
        <v>80</v>
      </c>
      <c r="K16" s="4" t="n">
        <v>84</v>
      </c>
      <c r="L16" s="4" t="n">
        <v>76.5</v>
      </c>
      <c r="M16" s="2" t="inlineStr">
        <is>
          <t>Strong Hire</t>
        </is>
      </c>
      <c r="N16" s="5" t="inlineStr">
        <is>
          <t>Senior Data Scientist with 4.7 YOE; demonstrates 4.7 years relevant experience, with high semantic alignment to AI Engineering.</t>
        </is>
      </c>
      <c r="O16" s="2" t="inlineStr">
        <is>
          <t>Parsed Successfully</t>
        </is>
      </c>
    </row>
    <row r="17">
      <c r="A17" s="6" t="n">
        <v>16</v>
      </c>
      <c r="B17" s="6" t="inlineStr">
        <is>
          <t>CAND_0047542</t>
        </is>
      </c>
      <c r="C17" s="7" t="inlineStr">
        <is>
          <t>Anil Nair</t>
        </is>
      </c>
      <c r="D17" s="6" t="inlineStr">
        <is>
          <t>c1bccf04-709d-4e7a-a1e9-ed5669ac077f</t>
        </is>
      </c>
      <c r="E17" s="8" t="n">
        <v>80.63</v>
      </c>
      <c r="F17" s="8" t="n">
        <v>100</v>
      </c>
      <c r="G17" s="8" t="n">
        <v>16.89</v>
      </c>
      <c r="H17" s="8" t="n">
        <v>100</v>
      </c>
      <c r="I17" s="8" t="n">
        <v>100</v>
      </c>
      <c r="J17" s="8" t="n">
        <v>80</v>
      </c>
      <c r="K17" s="8" t="n">
        <v>84</v>
      </c>
      <c r="L17" s="8" t="n">
        <v>81</v>
      </c>
      <c r="M17" s="6" t="inlineStr">
        <is>
          <t>Strong Hire</t>
        </is>
      </c>
      <c r="N17" s="9" t="inlineStr">
        <is>
          <t>Senior Software Engineer (ML) with 5.0 YOE; demonstrates 5.0 years relevant experience, with high semantic alignment to AI Engineering.</t>
        </is>
      </c>
      <c r="O17" s="6" t="inlineStr">
        <is>
          <t>Parsed Successfully</t>
        </is>
      </c>
    </row>
    <row r="18">
      <c r="A18" s="2" t="n">
        <v>17</v>
      </c>
      <c r="B18" s="2" t="inlineStr">
        <is>
          <t>CAND_0076163</t>
        </is>
      </c>
      <c r="C18" s="3" t="inlineStr">
        <is>
          <t>Nikhil Mittal</t>
        </is>
      </c>
      <c r="D18" s="2" t="inlineStr">
        <is>
          <t>c1bccf04-709d-4e7a-a1e9-ed5669ac077f</t>
        </is>
      </c>
      <c r="E18" s="4" t="n">
        <v>80.61</v>
      </c>
      <c r="F18" s="4" t="n">
        <v>100</v>
      </c>
      <c r="G18" s="4" t="n">
        <v>17.78</v>
      </c>
      <c r="H18" s="4" t="n">
        <v>100</v>
      </c>
      <c r="I18" s="4" t="n">
        <v>100</v>
      </c>
      <c r="J18" s="4" t="n">
        <v>80</v>
      </c>
      <c r="K18" s="4" t="n">
        <v>80</v>
      </c>
      <c r="L18" s="4" t="n">
        <v>81</v>
      </c>
      <c r="M18" s="2" t="inlineStr">
        <is>
          <t>Strong Hire</t>
        </is>
      </c>
      <c r="N18" s="5" t="inlineStr">
        <is>
          <t>NLP Engineer with 6.9 YOE; demonstrates 6.9 years relevant experience, with high semantic alignment to AI Engineering.</t>
        </is>
      </c>
      <c r="O18" s="2" t="inlineStr">
        <is>
          <t>Parsed Successfully</t>
        </is>
      </c>
    </row>
    <row r="19">
      <c r="A19" s="6" t="n">
        <v>18</v>
      </c>
      <c r="B19" s="6" t="inlineStr">
        <is>
          <t>CAND_0037944</t>
        </is>
      </c>
      <c r="C19" s="7" t="inlineStr">
        <is>
          <t>Suresh Singh</t>
        </is>
      </c>
      <c r="D19" s="6" t="inlineStr">
        <is>
          <t>c1bccf04-709d-4e7a-a1e9-ed5669ac077f</t>
        </is>
      </c>
      <c r="E19" s="8" t="n">
        <v>80.52</v>
      </c>
      <c r="F19" s="8" t="n">
        <v>100</v>
      </c>
      <c r="G19" s="8" t="n">
        <v>21.78</v>
      </c>
      <c r="H19" s="8" t="n">
        <v>98.5</v>
      </c>
      <c r="I19" s="8" t="n">
        <v>100</v>
      </c>
      <c r="J19" s="8" t="n">
        <v>80</v>
      </c>
      <c r="K19" s="8" t="n">
        <v>84</v>
      </c>
      <c r="L19" s="8" t="n">
        <v>63.75</v>
      </c>
      <c r="M19" s="6" t="inlineStr">
        <is>
          <t>Strong Hire</t>
        </is>
      </c>
      <c r="N19" s="9" t="inlineStr">
        <is>
          <t>Senior Data Scientist with 4.9 YOE; demonstrates 4.9 years relevant experience, with high semantic alignment to AI Engineering.</t>
        </is>
      </c>
      <c r="O19" s="6" t="inlineStr">
        <is>
          <t>Parsed Successfully</t>
        </is>
      </c>
    </row>
    <row r="20">
      <c r="A20" s="2" t="n">
        <v>19</v>
      </c>
      <c r="B20" s="2" t="inlineStr">
        <is>
          <t>CAND_0064326</t>
        </is>
      </c>
      <c r="C20" s="3" t="inlineStr">
        <is>
          <t>Nisha Pillai</t>
        </is>
      </c>
      <c r="D20" s="2" t="inlineStr">
        <is>
          <t>c1bccf04-709d-4e7a-a1e9-ed5669ac077f</t>
        </is>
      </c>
      <c r="E20" s="4" t="n">
        <v>80.51000000000001</v>
      </c>
      <c r="F20" s="4" t="n">
        <v>100</v>
      </c>
      <c r="G20" s="4" t="n">
        <v>21.78</v>
      </c>
      <c r="H20" s="4" t="n">
        <v>100</v>
      </c>
      <c r="I20" s="4" t="n">
        <v>100</v>
      </c>
      <c r="J20" s="4" t="n">
        <v>80</v>
      </c>
      <c r="K20" s="4" t="n">
        <v>62</v>
      </c>
      <c r="L20" s="4" t="n">
        <v>81</v>
      </c>
      <c r="M20" s="2" t="inlineStr">
        <is>
          <t>Strong Hire</t>
        </is>
      </c>
      <c r="N20" s="5" t="inlineStr">
        <is>
          <t>Search Engineer with 7.6 YOE; demonstrates 7.6 years relevant experience, with high semantic alignment to AI Engineering.</t>
        </is>
      </c>
      <c r="O20" s="2" t="inlineStr">
        <is>
          <t>Parsed Successfully</t>
        </is>
      </c>
    </row>
    <row r="21">
      <c r="A21" s="6" t="n">
        <v>20</v>
      </c>
      <c r="B21" s="6" t="inlineStr">
        <is>
          <t>CAND_0077337</t>
        </is>
      </c>
      <c r="C21" s="7" t="inlineStr">
        <is>
          <t>Aarav Agarwal</t>
        </is>
      </c>
      <c r="D21" s="6" t="inlineStr">
        <is>
          <t>c1bccf04-709d-4e7a-a1e9-ed5669ac077f</t>
        </is>
      </c>
      <c r="E21" s="8" t="n">
        <v>80.51000000000001</v>
      </c>
      <c r="F21" s="8" t="n">
        <v>100</v>
      </c>
      <c r="G21" s="8" t="n">
        <v>21.78</v>
      </c>
      <c r="H21" s="8" t="n">
        <v>100</v>
      </c>
      <c r="I21" s="8" t="n">
        <v>100</v>
      </c>
      <c r="J21" s="8" t="n">
        <v>80</v>
      </c>
      <c r="K21" s="8" t="n">
        <v>62</v>
      </c>
      <c r="L21" s="8" t="n">
        <v>81</v>
      </c>
      <c r="M21" s="6" t="inlineStr">
        <is>
          <t>Strong Hire</t>
        </is>
      </c>
      <c r="N21" s="9" t="inlineStr">
        <is>
          <t>Staff Machine Learning Engineer with 7.0 YOE; demonstrates 7.0 years relevant experience, with high semantic alignment to AI Engineering.</t>
        </is>
      </c>
      <c r="O21" s="6" t="inlineStr">
        <is>
          <t>Parsed Successfully</t>
        </is>
      </c>
    </row>
    <row r="22">
      <c r="A22" s="2" t="n">
        <v>21</v>
      </c>
      <c r="B22" s="2" t="inlineStr">
        <is>
          <t>CAND_0030031</t>
        </is>
      </c>
      <c r="C22" s="3" t="inlineStr">
        <is>
          <t>Anil Joshi</t>
        </is>
      </c>
      <c r="D22" s="2" t="inlineStr">
        <is>
          <t>c1bccf04-709d-4e7a-a1e9-ed5669ac077f</t>
        </is>
      </c>
      <c r="E22" s="4" t="n">
        <v>80.48</v>
      </c>
      <c r="F22" s="4" t="n">
        <v>100</v>
      </c>
      <c r="G22" s="4" t="n">
        <v>16.89</v>
      </c>
      <c r="H22" s="4" t="n">
        <v>100</v>
      </c>
      <c r="I22" s="4" t="n">
        <v>100</v>
      </c>
      <c r="J22" s="4" t="n">
        <v>80</v>
      </c>
      <c r="K22" s="4" t="n">
        <v>72</v>
      </c>
      <c r="L22" s="4" t="n">
        <v>90</v>
      </c>
      <c r="M22" s="2" t="inlineStr">
        <is>
          <t>Strong Hire</t>
        </is>
      </c>
      <c r="N22" s="5" t="inlineStr">
        <is>
          <t>AI Engineer with 5.7 YOE; demonstrates 5.7 years relevant experience, with high semantic alignment to AI Engineering.</t>
        </is>
      </c>
      <c r="O22" s="2" t="inlineStr">
        <is>
          <t>Parsed Successfully</t>
        </is>
      </c>
    </row>
    <row r="23">
      <c r="A23" s="6" t="n">
        <v>22</v>
      </c>
      <c r="B23" s="6" t="inlineStr">
        <is>
          <t>CAND_0002025</t>
        </is>
      </c>
      <c r="C23" s="7" t="inlineStr">
        <is>
          <t>Ira Dalal</t>
        </is>
      </c>
      <c r="D23" s="6" t="inlineStr">
        <is>
          <t>c1bccf04-709d-4e7a-a1e9-ed5669ac077f</t>
        </is>
      </c>
      <c r="E23" s="8" t="n">
        <v>80.28</v>
      </c>
      <c r="F23" s="8" t="n">
        <v>100</v>
      </c>
      <c r="G23" s="8" t="n">
        <v>12.89</v>
      </c>
      <c r="H23" s="8" t="n">
        <v>100</v>
      </c>
      <c r="I23" s="8" t="n">
        <v>100</v>
      </c>
      <c r="J23" s="8" t="n">
        <v>80</v>
      </c>
      <c r="K23" s="8" t="n">
        <v>84</v>
      </c>
      <c r="L23" s="8" t="n">
        <v>90</v>
      </c>
      <c r="M23" s="6" t="inlineStr">
        <is>
          <t>Strong Hire</t>
        </is>
      </c>
      <c r="N23" s="9" t="inlineStr">
        <is>
          <t>Senior AI Engineer with 5.9 YOE; demonstrates 5.9 years relevant experience, with high semantic alignment to AI Engineering.</t>
        </is>
      </c>
      <c r="O23" s="6" t="inlineStr">
        <is>
          <t>Parsed Successfully</t>
        </is>
      </c>
    </row>
    <row r="24">
      <c r="A24" s="2" t="n">
        <v>23</v>
      </c>
      <c r="B24" s="2" t="inlineStr">
        <is>
          <t>CAND_0013665</t>
        </is>
      </c>
      <c r="C24" s="3" t="inlineStr">
        <is>
          <t>Nisha Joshi</t>
        </is>
      </c>
      <c r="D24" s="2" t="inlineStr">
        <is>
          <t>c1bccf04-709d-4e7a-a1e9-ed5669ac077f</t>
        </is>
      </c>
      <c r="E24" s="4" t="n">
        <v>80.28</v>
      </c>
      <c r="F24" s="4" t="n">
        <v>100</v>
      </c>
      <c r="G24" s="4" t="n">
        <v>12.89</v>
      </c>
      <c r="H24" s="4" t="n">
        <v>100</v>
      </c>
      <c r="I24" s="4" t="n">
        <v>100</v>
      </c>
      <c r="J24" s="4" t="n">
        <v>80</v>
      </c>
      <c r="K24" s="4" t="n">
        <v>84</v>
      </c>
      <c r="L24" s="4" t="n">
        <v>90</v>
      </c>
      <c r="M24" s="2" t="inlineStr">
        <is>
          <t>Strong Hire</t>
        </is>
      </c>
      <c r="N24" s="5" t="inlineStr">
        <is>
          <t>Senior Software Engineer (ML) with 5.2 YOE; demonstrates 5.2 years relevant experience, with high semantic alignment to AI Engineering.</t>
        </is>
      </c>
      <c r="O24" s="2" t="inlineStr">
        <is>
          <t>Parsed Successfully</t>
        </is>
      </c>
    </row>
    <row r="25">
      <c r="A25" s="6" t="n">
        <v>24</v>
      </c>
      <c r="B25" s="6" t="inlineStr">
        <is>
          <t>CAND_0095528</t>
        </is>
      </c>
      <c r="C25" s="7" t="inlineStr">
        <is>
          <t>Amit Dalal</t>
        </is>
      </c>
      <c r="D25" s="6" t="inlineStr">
        <is>
          <t>c1bccf04-709d-4e7a-a1e9-ed5669ac077f</t>
        </is>
      </c>
      <c r="E25" s="8" t="n">
        <v>80.2</v>
      </c>
      <c r="F25" s="8" t="n">
        <v>100</v>
      </c>
      <c r="G25" s="8" t="n">
        <v>17.78</v>
      </c>
      <c r="H25" s="8" t="n">
        <v>100</v>
      </c>
      <c r="I25" s="8" t="n">
        <v>100</v>
      </c>
      <c r="J25" s="8" t="n">
        <v>80</v>
      </c>
      <c r="K25" s="8" t="n">
        <v>84</v>
      </c>
      <c r="L25" s="8" t="n">
        <v>68.84999999999999</v>
      </c>
      <c r="M25" s="6" t="inlineStr">
        <is>
          <t>Strong Hire</t>
        </is>
      </c>
      <c r="N25" s="9" t="inlineStr">
        <is>
          <t>Senior Data Scientist with 5.3 YOE; demonstrates 5.3 years relevant experience, with high semantic alignment to AI Engineering.</t>
        </is>
      </c>
      <c r="O25" s="6" t="inlineStr">
        <is>
          <t>Parsed Successfully</t>
        </is>
      </c>
    </row>
    <row r="26">
      <c r="A26" s="2" t="n">
        <v>25</v>
      </c>
      <c r="B26" s="2" t="inlineStr">
        <is>
          <t>CAND_0093883</t>
        </is>
      </c>
      <c r="C26" s="3" t="inlineStr">
        <is>
          <t>Pranav Singh</t>
        </is>
      </c>
      <c r="D26" s="2" t="inlineStr">
        <is>
          <t>c1bccf04-709d-4e7a-a1e9-ed5669ac077f</t>
        </is>
      </c>
      <c r="E26" s="4" t="n">
        <v>80.15000000000001</v>
      </c>
      <c r="F26" s="4" t="n">
        <v>100</v>
      </c>
      <c r="G26" s="4" t="n">
        <v>21.78</v>
      </c>
      <c r="H26" s="4" t="n">
        <v>100</v>
      </c>
      <c r="I26" s="4" t="n">
        <v>100</v>
      </c>
      <c r="J26" s="4" t="n">
        <v>85</v>
      </c>
      <c r="K26" s="4" t="n">
        <v>62</v>
      </c>
      <c r="L26" s="4" t="n">
        <v>68.84999999999999</v>
      </c>
      <c r="M26" s="2" t="inlineStr">
        <is>
          <t>Strong Hire</t>
        </is>
      </c>
      <c r="N26" s="5" t="inlineStr">
        <is>
          <t>AI Research Engineer with 5.0 YOE; demonstrates 5.0 years relevant experience, with high semantic alignment to AI Engineering.</t>
        </is>
      </c>
      <c r="O26" s="2" t="inlineStr">
        <is>
          <t>Parsed Successfully</t>
        </is>
      </c>
    </row>
    <row r="27">
      <c r="A27" s="6" t="n">
        <v>26</v>
      </c>
      <c r="B27" s="6" t="inlineStr">
        <is>
          <t>CAND_0052328</t>
        </is>
      </c>
      <c r="C27" s="7" t="inlineStr">
        <is>
          <t>Vikram Banerjee</t>
        </is>
      </c>
      <c r="D27" s="6" t="inlineStr">
        <is>
          <t>c1bccf04-709d-4e7a-a1e9-ed5669ac077f</t>
        </is>
      </c>
      <c r="E27" s="8" t="n">
        <v>80.13</v>
      </c>
      <c r="F27" s="8" t="n">
        <v>100</v>
      </c>
      <c r="G27" s="8" t="n">
        <v>16.89</v>
      </c>
      <c r="H27" s="8" t="n">
        <v>100</v>
      </c>
      <c r="I27" s="8" t="n">
        <v>100</v>
      </c>
      <c r="J27" s="8" t="n">
        <v>80</v>
      </c>
      <c r="K27" s="8" t="n">
        <v>80</v>
      </c>
      <c r="L27" s="8" t="n">
        <v>75</v>
      </c>
      <c r="M27" s="6" t="inlineStr">
        <is>
          <t>Strong Hire</t>
        </is>
      </c>
      <c r="N27" s="9" t="inlineStr">
        <is>
          <t>Recommendation Systems Engineer with 6.5 YOE; demonstrates 6.5 years relevant experience, with high semantic alignment to AI Engineering.</t>
        </is>
      </c>
      <c r="O27" s="6" t="inlineStr">
        <is>
          <t>Parsed Successfully</t>
        </is>
      </c>
    </row>
    <row r="28">
      <c r="A28" s="2" t="n">
        <v>27</v>
      </c>
      <c r="B28" s="2" t="inlineStr">
        <is>
          <t>CAND_0070202</t>
        </is>
      </c>
      <c r="C28" s="3" t="inlineStr">
        <is>
          <t>Ayaan Mishra</t>
        </is>
      </c>
      <c r="D28" s="2" t="inlineStr">
        <is>
          <t>c1bccf04-709d-4e7a-a1e9-ed5669ac077f</t>
        </is>
      </c>
      <c r="E28" s="4" t="n">
        <v>80.12</v>
      </c>
      <c r="F28" s="4" t="n">
        <v>100</v>
      </c>
      <c r="G28" s="4" t="n">
        <v>21.78</v>
      </c>
      <c r="H28" s="4" t="n">
        <v>100</v>
      </c>
      <c r="I28" s="4" t="n">
        <v>100</v>
      </c>
      <c r="J28" s="4" t="n">
        <v>80</v>
      </c>
      <c r="K28" s="4" t="n">
        <v>74</v>
      </c>
      <c r="L28" s="4" t="n">
        <v>61.2</v>
      </c>
      <c r="M28" s="2" t="inlineStr">
        <is>
          <t>Strong Hire</t>
        </is>
      </c>
      <c r="N28" s="5" t="inlineStr">
        <is>
          <t>Machine Learning Engineer with 5.1 YOE; demonstrates 5.1 years relevant experience, with high semantic alignment to AI Engineering (Note: 90 days notice).</t>
        </is>
      </c>
      <c r="O28" s="2" t="inlineStr">
        <is>
          <t>Parsed Successfully</t>
        </is>
      </c>
    </row>
    <row r="29">
      <c r="A29" s="6" t="n">
        <v>28</v>
      </c>
      <c r="B29" s="6" t="inlineStr">
        <is>
          <t>CAND_0011162</t>
        </is>
      </c>
      <c r="C29" s="7" t="inlineStr">
        <is>
          <t>Nisha Sharma</t>
        </is>
      </c>
      <c r="D29" s="6" t="inlineStr">
        <is>
          <t>c1bccf04-709d-4e7a-a1e9-ed5669ac077f</t>
        </is>
      </c>
      <c r="E29" s="8" t="n">
        <v>80.06</v>
      </c>
      <c r="F29" s="8" t="n">
        <v>100</v>
      </c>
      <c r="G29" s="8" t="n">
        <v>21.78</v>
      </c>
      <c r="H29" s="8" t="n">
        <v>100</v>
      </c>
      <c r="I29" s="8" t="n">
        <v>100</v>
      </c>
      <c r="J29" s="8" t="n">
        <v>80</v>
      </c>
      <c r="K29" s="8" t="n">
        <v>62</v>
      </c>
      <c r="L29" s="8" t="n">
        <v>72</v>
      </c>
      <c r="M29" s="6" t="inlineStr">
        <is>
          <t>Strong Hire</t>
        </is>
      </c>
      <c r="N29" s="9" t="inlineStr">
        <is>
          <t>Recommendation Systems Engineer with 5.8 YOE; demonstrates 5.8 years relevant experience, with high semantic alignment to AI Engineering (Note: 90 days notice).</t>
        </is>
      </c>
      <c r="O29" s="6" t="inlineStr">
        <is>
          <t>Parsed Successfully</t>
        </is>
      </c>
    </row>
    <row r="30">
      <c r="A30" s="2" t="n">
        <v>29</v>
      </c>
      <c r="B30" s="2" t="inlineStr">
        <is>
          <t>CAND_0079387</t>
        </is>
      </c>
      <c r="C30" s="3" t="inlineStr">
        <is>
          <t>Sneha Arora</t>
        </is>
      </c>
      <c r="D30" s="2" t="inlineStr">
        <is>
          <t>c1bccf04-709d-4e7a-a1e9-ed5669ac077f</t>
        </is>
      </c>
      <c r="E30" s="4" t="n">
        <v>79.98</v>
      </c>
      <c r="F30" s="4" t="n">
        <v>100</v>
      </c>
      <c r="G30" s="4" t="n">
        <v>16.89</v>
      </c>
      <c r="H30" s="4" t="n">
        <v>100</v>
      </c>
      <c r="I30" s="4" t="n">
        <v>100</v>
      </c>
      <c r="J30" s="4" t="n">
        <v>80</v>
      </c>
      <c r="K30" s="4" t="n">
        <v>62</v>
      </c>
      <c r="L30" s="4" t="n">
        <v>90</v>
      </c>
      <c r="M30" s="2" t="inlineStr">
        <is>
          <t>Hire</t>
        </is>
      </c>
      <c r="N30" s="5" t="inlineStr">
        <is>
          <t>AI Engineer with 6.9 YOE; demonstrates 6.9 years relevant experience, with high semantic alignment to AI Engineering.</t>
        </is>
      </c>
      <c r="O30" s="2" t="inlineStr">
        <is>
          <t>Parsed Successfully</t>
        </is>
      </c>
    </row>
    <row r="31">
      <c r="A31" s="6" t="n">
        <v>30</v>
      </c>
      <c r="B31" s="6" t="inlineStr">
        <is>
          <t>CAND_0098952</t>
        </is>
      </c>
      <c r="C31" s="7" t="inlineStr">
        <is>
          <t>Dev Sethi</t>
        </is>
      </c>
      <c r="D31" s="6" t="inlineStr">
        <is>
          <t>c1bccf04-709d-4e7a-a1e9-ed5669ac077f</t>
        </is>
      </c>
      <c r="E31" s="8" t="n">
        <v>79.92</v>
      </c>
      <c r="F31" s="8" t="n">
        <v>100</v>
      </c>
      <c r="G31" s="8" t="n">
        <v>21.78</v>
      </c>
      <c r="H31" s="8" t="n">
        <v>100</v>
      </c>
      <c r="I31" s="8" t="n">
        <v>100</v>
      </c>
      <c r="J31" s="8" t="n">
        <v>80</v>
      </c>
      <c r="K31" s="8" t="n">
        <v>74</v>
      </c>
      <c r="L31" s="8" t="n">
        <v>57.38</v>
      </c>
      <c r="M31" s="6" t="inlineStr">
        <is>
          <t>Hire</t>
        </is>
      </c>
      <c r="N31" s="9" t="inlineStr">
        <is>
          <t>AI Research Engineer with 5.5 YOE; demonstrates 5.5 years relevant experience, with high semantic alignment to AI Engineering.</t>
        </is>
      </c>
      <c r="O31" s="6" t="inlineStr">
        <is>
          <t>Parsed Successfully</t>
        </is>
      </c>
    </row>
    <row r="32">
      <c r="A32" s="2" t="n">
        <v>31</v>
      </c>
      <c r="B32" s="2" t="inlineStr">
        <is>
          <t>CAND_0024620</t>
        </is>
      </c>
      <c r="C32" s="3" t="inlineStr">
        <is>
          <t>Avni Rao</t>
        </is>
      </c>
      <c r="D32" s="2" t="inlineStr">
        <is>
          <t>c1bccf04-709d-4e7a-a1e9-ed5669ac077f</t>
        </is>
      </c>
      <c r="E32" s="4" t="n">
        <v>79.90000000000001</v>
      </c>
      <c r="F32" s="4" t="n">
        <v>100</v>
      </c>
      <c r="G32" s="4" t="n">
        <v>21.78</v>
      </c>
      <c r="H32" s="4" t="n">
        <v>100</v>
      </c>
      <c r="I32" s="4" t="n">
        <v>100</v>
      </c>
      <c r="J32" s="4" t="n">
        <v>80</v>
      </c>
      <c r="K32" s="4" t="n">
        <v>62</v>
      </c>
      <c r="L32" s="4" t="n">
        <v>68.84999999999999</v>
      </c>
      <c r="M32" s="2" t="inlineStr">
        <is>
          <t>Hire</t>
        </is>
      </c>
      <c r="N32" s="5" t="inlineStr">
        <is>
          <t>AI Engineer with 5.9 YOE; demonstrates 5.9 years relevant experience, with high semantic alignment to AI Engineering.</t>
        </is>
      </c>
      <c r="O32" s="2" t="inlineStr">
        <is>
          <t>Parsed Successfully</t>
        </is>
      </c>
    </row>
    <row r="33">
      <c r="A33" s="6" t="n">
        <v>32</v>
      </c>
      <c r="B33" s="6" t="inlineStr">
        <is>
          <t>CAND_0072660</t>
        </is>
      </c>
      <c r="C33" s="7" t="inlineStr">
        <is>
          <t>Aarohi Sen</t>
        </is>
      </c>
      <c r="D33" s="6" t="inlineStr">
        <is>
          <t>c1bccf04-709d-4e7a-a1e9-ed5669ac077f</t>
        </is>
      </c>
      <c r="E33" s="8" t="n">
        <v>79.90000000000001</v>
      </c>
      <c r="F33" s="8" t="n">
        <v>100</v>
      </c>
      <c r="G33" s="8" t="n">
        <v>16.89</v>
      </c>
      <c r="H33" s="8" t="n">
        <v>100</v>
      </c>
      <c r="I33" s="8" t="n">
        <v>100</v>
      </c>
      <c r="J33" s="8" t="n">
        <v>80</v>
      </c>
      <c r="K33" s="8" t="n">
        <v>74</v>
      </c>
      <c r="L33" s="8" t="n">
        <v>76.5</v>
      </c>
      <c r="M33" s="6" t="inlineStr">
        <is>
          <t>Hire</t>
        </is>
      </c>
      <c r="N33" s="9" t="inlineStr">
        <is>
          <t>Machine Learning Engineer with 7.1 YOE; demonstrates 7.1 years relevant experience, with high semantic alignment to AI Engineering.</t>
        </is>
      </c>
      <c r="O33" s="6" t="inlineStr">
        <is>
          <t>Parsed Successfully</t>
        </is>
      </c>
    </row>
    <row r="34">
      <c r="A34" s="2" t="n">
        <v>33</v>
      </c>
      <c r="B34" s="2" t="inlineStr">
        <is>
          <t>CAND_0032179</t>
        </is>
      </c>
      <c r="C34" s="3" t="inlineStr">
        <is>
          <t>Om Hegde</t>
        </is>
      </c>
      <c r="D34" s="2" t="inlineStr">
        <is>
          <t>c1bccf04-709d-4e7a-a1e9-ed5669ac077f</t>
        </is>
      </c>
      <c r="E34" s="4" t="n">
        <v>79.7</v>
      </c>
      <c r="F34" s="4" t="n">
        <v>100</v>
      </c>
      <c r="G34" s="4" t="n">
        <v>17.78</v>
      </c>
      <c r="H34" s="4" t="n">
        <v>100</v>
      </c>
      <c r="I34" s="4" t="n">
        <v>100</v>
      </c>
      <c r="J34" s="4" t="n">
        <v>80</v>
      </c>
      <c r="K34" s="4" t="n">
        <v>74</v>
      </c>
      <c r="L34" s="4" t="n">
        <v>68.84999999999999</v>
      </c>
      <c r="M34" s="2" t="inlineStr">
        <is>
          <t>Hire</t>
        </is>
      </c>
      <c r="N34" s="5" t="inlineStr">
        <is>
          <t>Computer Vision Engineer with 6.4 YOE; demonstrates 6.4 years relevant experience, with high semantic alignment to AI Engineering.</t>
        </is>
      </c>
      <c r="O34" s="2" t="inlineStr">
        <is>
          <t>Parsed Successfully</t>
        </is>
      </c>
    </row>
    <row r="35">
      <c r="A35" s="6" t="n">
        <v>34</v>
      </c>
      <c r="B35" s="6" t="inlineStr">
        <is>
          <t>CAND_0080766</t>
        </is>
      </c>
      <c r="C35" s="7" t="inlineStr">
        <is>
          <t>Kiara Mittal</t>
        </is>
      </c>
      <c r="D35" s="6" t="inlineStr">
        <is>
          <t>c1bccf04-709d-4e7a-a1e9-ed5669ac077f</t>
        </is>
      </c>
      <c r="E35" s="8" t="n">
        <v>79.65000000000001</v>
      </c>
      <c r="F35" s="8" t="n">
        <v>100</v>
      </c>
      <c r="G35" s="8" t="n">
        <v>16.89</v>
      </c>
      <c r="H35" s="8" t="n">
        <v>100</v>
      </c>
      <c r="I35" s="8" t="n">
        <v>100</v>
      </c>
      <c r="J35" s="8" t="n">
        <v>75</v>
      </c>
      <c r="K35" s="8" t="n">
        <v>74</v>
      </c>
      <c r="L35" s="8" t="n">
        <v>76.5</v>
      </c>
      <c r="M35" s="6" t="inlineStr">
        <is>
          <t>Hire</t>
        </is>
      </c>
      <c r="N35" s="9" t="inlineStr">
        <is>
          <t>Staff Machine Learning Engineer with 8.8 YOE; demonstrates 8.8 years relevant experience, with high semantic alignment to AI Engineering.</t>
        </is>
      </c>
      <c r="O35" s="6" t="inlineStr">
        <is>
          <t>Parsed Successfully</t>
        </is>
      </c>
    </row>
    <row r="36">
      <c r="A36" s="2" t="n">
        <v>35</v>
      </c>
      <c r="B36" s="2" t="inlineStr">
        <is>
          <t>CAND_0086022</t>
        </is>
      </c>
      <c r="C36" s="3" t="inlineStr">
        <is>
          <t>Dhruv Naidu</t>
        </is>
      </c>
      <c r="D36" s="2" t="inlineStr">
        <is>
          <t>c1bccf04-709d-4e7a-a1e9-ed5669ac077f</t>
        </is>
      </c>
      <c r="E36" s="4" t="n">
        <v>79.65000000000001</v>
      </c>
      <c r="F36" s="4" t="n">
        <v>100</v>
      </c>
      <c r="G36" s="4" t="n">
        <v>16.89</v>
      </c>
      <c r="H36" s="4" t="n">
        <v>100</v>
      </c>
      <c r="I36" s="4" t="n">
        <v>100</v>
      </c>
      <c r="J36" s="4" t="n">
        <v>75</v>
      </c>
      <c r="K36" s="4" t="n">
        <v>74</v>
      </c>
      <c r="L36" s="4" t="n">
        <v>76.5</v>
      </c>
      <c r="M36" s="2" t="inlineStr">
        <is>
          <t>Hire</t>
        </is>
      </c>
      <c r="N36" s="5" t="inlineStr">
        <is>
          <t>Senior Applied Scientist with 5.3 YOE; demonstrates 5.3 years relevant experience, with high semantic alignment to AI Engineering.</t>
        </is>
      </c>
      <c r="O36" s="2" t="inlineStr">
        <is>
          <t>Parsed Successfully</t>
        </is>
      </c>
    </row>
    <row r="37">
      <c r="A37" s="6" t="n">
        <v>36</v>
      </c>
      <c r="B37" s="6" t="inlineStr">
        <is>
          <t>CAND_0067866</t>
        </is>
      </c>
      <c r="C37" s="7" t="inlineStr">
        <is>
          <t>Kiara Sethi</t>
        </is>
      </c>
      <c r="D37" s="6" t="inlineStr">
        <is>
          <t>c1bccf04-709d-4e7a-a1e9-ed5669ac077f</t>
        </is>
      </c>
      <c r="E37" s="8" t="n">
        <v>79.58</v>
      </c>
      <c r="F37" s="8" t="n">
        <v>100</v>
      </c>
      <c r="G37" s="8" t="n">
        <v>12.89</v>
      </c>
      <c r="H37" s="8" t="n">
        <v>100</v>
      </c>
      <c r="I37" s="8" t="n">
        <v>100</v>
      </c>
      <c r="J37" s="8" t="n">
        <v>75</v>
      </c>
      <c r="K37" s="8" t="n">
        <v>84</v>
      </c>
      <c r="L37" s="8" t="n">
        <v>81</v>
      </c>
      <c r="M37" s="6" t="inlineStr">
        <is>
          <t>Hire</t>
        </is>
      </c>
      <c r="N37" s="9" t="inlineStr">
        <is>
          <t>Senior Software Engineer (ML) with 6.4 YOE; demonstrates 6.4 years relevant experience, with high semantic alignment to AI Engineering.</t>
        </is>
      </c>
      <c r="O37" s="6" t="inlineStr">
        <is>
          <t>Parsed Successfully</t>
        </is>
      </c>
    </row>
    <row r="38">
      <c r="A38" s="2" t="n">
        <v>37</v>
      </c>
      <c r="B38" s="2" t="inlineStr">
        <is>
          <t>CAND_0071974</t>
        </is>
      </c>
      <c r="C38" s="3" t="inlineStr">
        <is>
          <t>Sai Verma</t>
        </is>
      </c>
      <c r="D38" s="2" t="inlineStr">
        <is>
          <t>c1bccf04-709d-4e7a-a1e9-ed5669ac077f</t>
        </is>
      </c>
      <c r="E38" s="4" t="n">
        <v>79.58</v>
      </c>
      <c r="F38" s="4" t="n">
        <v>100</v>
      </c>
      <c r="G38" s="4" t="n">
        <v>12.89</v>
      </c>
      <c r="H38" s="4" t="n">
        <v>100</v>
      </c>
      <c r="I38" s="4" t="n">
        <v>100</v>
      </c>
      <c r="J38" s="4" t="n">
        <v>75</v>
      </c>
      <c r="K38" s="4" t="n">
        <v>84</v>
      </c>
      <c r="L38" s="4" t="n">
        <v>81</v>
      </c>
      <c r="M38" s="2" t="inlineStr">
        <is>
          <t>Hire</t>
        </is>
      </c>
      <c r="N38" s="5" t="inlineStr">
        <is>
          <t>Senior AI Engineer with 7.8 YOE; demonstrates 7.8 years relevant experience, with high semantic alignment to AI Engineering.</t>
        </is>
      </c>
      <c r="O38" s="2" t="inlineStr">
        <is>
          <t>Parsed Successfully</t>
        </is>
      </c>
    </row>
    <row r="39">
      <c r="A39" s="6" t="n">
        <v>38</v>
      </c>
      <c r="B39" s="6" t="inlineStr">
        <is>
          <t>CAND_0007596</t>
        </is>
      </c>
      <c r="C39" s="7" t="inlineStr">
        <is>
          <t>Shaurya Gupta</t>
        </is>
      </c>
      <c r="D39" s="6" t="inlineStr">
        <is>
          <t>c1bccf04-709d-4e7a-a1e9-ed5669ac077f</t>
        </is>
      </c>
      <c r="E39" s="8" t="n">
        <v>79.51000000000001</v>
      </c>
      <c r="F39" s="8" t="n">
        <v>100</v>
      </c>
      <c r="G39" s="8" t="n">
        <v>21.78</v>
      </c>
      <c r="H39" s="8" t="n">
        <v>91</v>
      </c>
      <c r="I39" s="8" t="n">
        <v>100</v>
      </c>
      <c r="J39" s="8" t="n">
        <v>75</v>
      </c>
      <c r="K39" s="8" t="n">
        <v>74</v>
      </c>
      <c r="L39" s="8" t="n">
        <v>81</v>
      </c>
      <c r="M39" s="6" t="inlineStr">
        <is>
          <t>Hire</t>
        </is>
      </c>
      <c r="N39" s="9" t="inlineStr">
        <is>
          <t>Junior ML Engineer with 4.4 YOE; demonstrates 4.4 years relevant experience, with high semantic alignment to AI Engineering.</t>
        </is>
      </c>
      <c r="O39" s="6" t="inlineStr">
        <is>
          <t>Parsed Successfully</t>
        </is>
      </c>
    </row>
    <row r="40">
      <c r="A40" s="2" t="n">
        <v>39</v>
      </c>
      <c r="B40" s="2" t="inlineStr">
        <is>
          <t>CAND_0096172</t>
        </is>
      </c>
      <c r="C40" s="3" t="inlineStr">
        <is>
          <t>Meera Chowdary</t>
        </is>
      </c>
      <c r="D40" s="2" t="inlineStr">
        <is>
          <t>c1bccf04-709d-4e7a-a1e9-ed5669ac077f</t>
        </is>
      </c>
      <c r="E40" s="4" t="n">
        <v>79.45</v>
      </c>
      <c r="F40" s="4" t="n">
        <v>100</v>
      </c>
      <c r="G40" s="4" t="n">
        <v>17.78</v>
      </c>
      <c r="H40" s="4" t="n">
        <v>100</v>
      </c>
      <c r="I40" s="4" t="n">
        <v>100</v>
      </c>
      <c r="J40" s="4" t="n">
        <v>75</v>
      </c>
      <c r="K40" s="4" t="n">
        <v>74</v>
      </c>
      <c r="L40" s="4" t="n">
        <v>68.84999999999999</v>
      </c>
      <c r="M40" s="2" t="inlineStr">
        <is>
          <t>Hire</t>
        </is>
      </c>
      <c r="N40" s="5" t="inlineStr">
        <is>
          <t>NLP Engineer with 5.2 YOE; demonstrates 5.2 years relevant experience, with high semantic alignment to AI Engineering.</t>
        </is>
      </c>
      <c r="O40" s="2" t="inlineStr">
        <is>
          <t>Parsed Successfully</t>
        </is>
      </c>
    </row>
    <row r="41">
      <c r="A41" s="6" t="n">
        <v>40</v>
      </c>
      <c r="B41" s="6" t="inlineStr">
        <is>
          <t>CAND_0088025</t>
        </is>
      </c>
      <c r="C41" s="7" t="inlineStr">
        <is>
          <t>Amit Arora</t>
        </is>
      </c>
      <c r="D41" s="6" t="inlineStr">
        <is>
          <t>c1bccf04-709d-4e7a-a1e9-ed5669ac077f</t>
        </is>
      </c>
      <c r="E41" s="8" t="n">
        <v>79.43000000000001</v>
      </c>
      <c r="F41" s="8" t="n">
        <v>100</v>
      </c>
      <c r="G41" s="8" t="n">
        <v>16.89</v>
      </c>
      <c r="H41" s="8" t="n">
        <v>100</v>
      </c>
      <c r="I41" s="8" t="n">
        <v>100</v>
      </c>
      <c r="J41" s="8" t="n">
        <v>75</v>
      </c>
      <c r="K41" s="8" t="n">
        <v>74</v>
      </c>
      <c r="L41" s="8" t="n">
        <v>72</v>
      </c>
      <c r="M41" s="6" t="inlineStr">
        <is>
          <t>Hire</t>
        </is>
      </c>
      <c r="N41" s="9" t="inlineStr">
        <is>
          <t>Staff Machine Learning Engineer with 8.6 YOE; demonstrates 8.6 years relevant experience, with high semantic alignment to AI Engineering (Note: 90 days notice).</t>
        </is>
      </c>
      <c r="O41" s="6" t="inlineStr">
        <is>
          <t>Parsed Successfully</t>
        </is>
      </c>
    </row>
    <row r="42">
      <c r="A42" s="2" t="n">
        <v>41</v>
      </c>
      <c r="B42" s="2" t="inlineStr">
        <is>
          <t>CAND_0037160</t>
        </is>
      </c>
      <c r="C42" s="3" t="inlineStr">
        <is>
          <t>Riya Chatterjee</t>
        </is>
      </c>
      <c r="D42" s="2" t="inlineStr">
        <is>
          <t>c1bccf04-709d-4e7a-a1e9-ed5669ac077f</t>
        </is>
      </c>
      <c r="E42" s="4" t="n">
        <v>79.41</v>
      </c>
      <c r="F42" s="4" t="n">
        <v>100</v>
      </c>
      <c r="G42" s="4" t="n">
        <v>17.78</v>
      </c>
      <c r="H42" s="4" t="n">
        <v>100</v>
      </c>
      <c r="I42" s="4" t="n">
        <v>100</v>
      </c>
      <c r="J42" s="4" t="n">
        <v>80</v>
      </c>
      <c r="K42" s="4" t="n">
        <v>62</v>
      </c>
      <c r="L42" s="4" t="n">
        <v>75</v>
      </c>
      <c r="M42" s="2" t="inlineStr">
        <is>
          <t>Hire</t>
        </is>
      </c>
      <c r="N42" s="5" t="inlineStr">
        <is>
          <t>Data Scientist with 6.0 YOE; demonstrates 6.0 years relevant experience, with high semantic alignment to AI Engineering.</t>
        </is>
      </c>
      <c r="O42" s="2" t="inlineStr">
        <is>
          <t>Parsed Successfully</t>
        </is>
      </c>
    </row>
    <row r="43">
      <c r="A43" s="6" t="n">
        <v>42</v>
      </c>
      <c r="B43" s="6" t="inlineStr">
        <is>
          <t>CAND_0054123</t>
        </is>
      </c>
      <c r="C43" s="7" t="inlineStr">
        <is>
          <t>Tanvi Banerjee</t>
        </is>
      </c>
      <c r="D43" s="6" t="inlineStr">
        <is>
          <t>c1bccf04-709d-4e7a-a1e9-ed5669ac077f</t>
        </is>
      </c>
      <c r="E43" s="8" t="n">
        <v>79.38</v>
      </c>
      <c r="F43" s="8" t="n">
        <v>100</v>
      </c>
      <c r="G43" s="8" t="n">
        <v>17.78</v>
      </c>
      <c r="H43" s="8" t="n">
        <v>95.5</v>
      </c>
      <c r="I43" s="8" t="n">
        <v>100</v>
      </c>
      <c r="J43" s="8" t="n">
        <v>75</v>
      </c>
      <c r="K43" s="8" t="n">
        <v>74</v>
      </c>
      <c r="L43" s="8" t="n">
        <v>81</v>
      </c>
      <c r="M43" s="6" t="inlineStr">
        <is>
          <t>Hire</t>
        </is>
      </c>
      <c r="N43" s="9" t="inlineStr">
        <is>
          <t>Applied ML Engineer with 4.7 YOE; demonstrates 4.7 years relevant experience, with high semantic alignment to AI Engineering.</t>
        </is>
      </c>
      <c r="O43" s="6" t="inlineStr">
        <is>
          <t>Parsed Successfully</t>
        </is>
      </c>
    </row>
    <row r="44">
      <c r="A44" s="2" t="n">
        <v>43</v>
      </c>
      <c r="B44" s="2" t="inlineStr">
        <is>
          <t>CAND_0017960</t>
        </is>
      </c>
      <c r="C44" s="3" t="inlineStr">
        <is>
          <t>Pari Shah</t>
        </is>
      </c>
      <c r="D44" s="2" t="inlineStr">
        <is>
          <t>c1bccf04-709d-4e7a-a1e9-ed5669ac077f</t>
        </is>
      </c>
      <c r="E44" s="4" t="n">
        <v>79.33</v>
      </c>
      <c r="F44" s="4" t="n">
        <v>100</v>
      </c>
      <c r="G44" s="4" t="n">
        <v>12.89</v>
      </c>
      <c r="H44" s="4" t="n">
        <v>100</v>
      </c>
      <c r="I44" s="4" t="n">
        <v>100</v>
      </c>
      <c r="J44" s="4" t="n">
        <v>80</v>
      </c>
      <c r="K44" s="4" t="n">
        <v>74</v>
      </c>
      <c r="L44" s="4" t="n">
        <v>81</v>
      </c>
      <c r="M44" s="2" t="inlineStr">
        <is>
          <t>Hire</t>
        </is>
      </c>
      <c r="N44" s="5" t="inlineStr">
        <is>
          <t>Recommendation Systems Engineer with 7.7 YOE; demonstrates 7.7 years relevant experience, with high semantic alignment to AI Engineering.</t>
        </is>
      </c>
      <c r="O44" s="2" t="inlineStr">
        <is>
          <t>Parsed Successfully</t>
        </is>
      </c>
    </row>
    <row r="45">
      <c r="A45" s="6" t="n">
        <v>44</v>
      </c>
      <c r="B45" s="6" t="inlineStr">
        <is>
          <t>CAND_0041669</t>
        </is>
      </c>
      <c r="C45" s="7" t="inlineStr">
        <is>
          <t>Aisha Banerjee</t>
        </is>
      </c>
      <c r="D45" s="6" t="inlineStr">
        <is>
          <t>c1bccf04-709d-4e7a-a1e9-ed5669ac077f</t>
        </is>
      </c>
      <c r="E45" s="8" t="n">
        <v>79.33</v>
      </c>
      <c r="F45" s="8" t="n">
        <v>100</v>
      </c>
      <c r="G45" s="8" t="n">
        <v>12.89</v>
      </c>
      <c r="H45" s="8" t="n">
        <v>100</v>
      </c>
      <c r="I45" s="8" t="n">
        <v>100</v>
      </c>
      <c r="J45" s="8" t="n">
        <v>80</v>
      </c>
      <c r="K45" s="8" t="n">
        <v>74</v>
      </c>
      <c r="L45" s="8" t="n">
        <v>81</v>
      </c>
      <c r="M45" s="6" t="inlineStr">
        <is>
          <t>Hire</t>
        </is>
      </c>
      <c r="N45" s="9" t="inlineStr">
        <is>
          <t>Recommendation Systems Engineer with 8.0 YOE; demonstrates 8.0 years relevant experience, with high semantic alignment to AI Engineering.</t>
        </is>
      </c>
      <c r="O45" s="6" t="inlineStr">
        <is>
          <t>Parsed Successfully</t>
        </is>
      </c>
    </row>
    <row r="46">
      <c r="A46" s="2" t="n">
        <v>45</v>
      </c>
      <c r="B46" s="2" t="inlineStr">
        <is>
          <t>CAND_0040117</t>
        </is>
      </c>
      <c r="C46" s="3" t="inlineStr">
        <is>
          <t>Aisha Sen</t>
        </is>
      </c>
      <c r="D46" s="2" t="inlineStr">
        <is>
          <t>c1bccf04-709d-4e7a-a1e9-ed5669ac077f</t>
        </is>
      </c>
      <c r="E46" s="4" t="n">
        <v>79.31999999999999</v>
      </c>
      <c r="F46" s="4" t="n">
        <v>100</v>
      </c>
      <c r="G46" s="4" t="n">
        <v>16.89</v>
      </c>
      <c r="H46" s="4" t="n">
        <v>100</v>
      </c>
      <c r="I46" s="4" t="n">
        <v>100</v>
      </c>
      <c r="J46" s="4" t="n">
        <v>75</v>
      </c>
      <c r="K46" s="4" t="n">
        <v>80</v>
      </c>
      <c r="L46" s="4" t="n">
        <v>63.75</v>
      </c>
      <c r="M46" s="2" t="inlineStr">
        <is>
          <t>Hire</t>
        </is>
      </c>
      <c r="N46" s="5" t="inlineStr">
        <is>
          <t>Recommendation Systems Engineer with 6.5 YOE; demonstrates 6.5 years relevant experience, with high semantic alignment to AI Engineering.</t>
        </is>
      </c>
      <c r="O46" s="2" t="inlineStr">
        <is>
          <t>Parsed Successfully</t>
        </is>
      </c>
    </row>
    <row r="47">
      <c r="A47" s="6" t="n">
        <v>46</v>
      </c>
      <c r="B47" s="6" t="inlineStr">
        <is>
          <t>CAND_0043860</t>
        </is>
      </c>
      <c r="C47" s="7" t="inlineStr">
        <is>
          <t>Pranav Sharma</t>
        </is>
      </c>
      <c r="D47" s="6" t="inlineStr">
        <is>
          <t>c1bccf04-709d-4e7a-a1e9-ed5669ac077f</t>
        </is>
      </c>
      <c r="E47" s="8" t="n">
        <v>79.28</v>
      </c>
      <c r="F47" s="8" t="n">
        <v>100</v>
      </c>
      <c r="G47" s="8" t="n">
        <v>8.890000000000001</v>
      </c>
      <c r="H47" s="8" t="n">
        <v>100</v>
      </c>
      <c r="I47" s="8" t="n">
        <v>100</v>
      </c>
      <c r="J47" s="8" t="n">
        <v>80</v>
      </c>
      <c r="K47" s="8" t="n">
        <v>80</v>
      </c>
      <c r="L47" s="8" t="n">
        <v>90</v>
      </c>
      <c r="M47" s="6" t="inlineStr">
        <is>
          <t>Hire</t>
        </is>
      </c>
      <c r="N47" s="9" t="inlineStr">
        <is>
          <t>Junior ML Engineer with 6.1 YOE; demonstrates 6.1 years relevant experience, with high semantic alignment to AI Engineering.</t>
        </is>
      </c>
      <c r="O47" s="6" t="inlineStr">
        <is>
          <t>Parsed Successfully</t>
        </is>
      </c>
    </row>
    <row r="48">
      <c r="A48" s="2" t="n">
        <v>47</v>
      </c>
      <c r="B48" s="2" t="inlineStr">
        <is>
          <t>CAND_0044855</t>
        </is>
      </c>
      <c r="C48" s="3" t="inlineStr">
        <is>
          <t>Kavya Joshi</t>
        </is>
      </c>
      <c r="D48" s="2" t="inlineStr">
        <is>
          <t>c1bccf04-709d-4e7a-a1e9-ed5669ac077f</t>
        </is>
      </c>
      <c r="E48" s="4" t="n">
        <v>79.22</v>
      </c>
      <c r="F48" s="4" t="n">
        <v>100</v>
      </c>
      <c r="G48" s="4" t="n">
        <v>12.89</v>
      </c>
      <c r="H48" s="4" t="n">
        <v>100</v>
      </c>
      <c r="I48" s="4" t="n">
        <v>100</v>
      </c>
      <c r="J48" s="4" t="n">
        <v>80</v>
      </c>
      <c r="K48" s="4" t="n">
        <v>84</v>
      </c>
      <c r="L48" s="4" t="n">
        <v>68.84999999999999</v>
      </c>
      <c r="M48" s="2" t="inlineStr">
        <is>
          <t>Hire</t>
        </is>
      </c>
      <c r="N48" s="5" t="inlineStr">
        <is>
          <t>Senior Data Scientist with 6.6 YOE; demonstrates 6.6 years relevant experience, with high semantic alignment to AI Engineering.</t>
        </is>
      </c>
      <c r="O48" s="2" t="inlineStr">
        <is>
          <t>Parsed Successfully</t>
        </is>
      </c>
    </row>
    <row r="49">
      <c r="A49" s="6" t="n">
        <v>48</v>
      </c>
      <c r="B49" s="6" t="inlineStr">
        <is>
          <t>CAND_0081852</t>
        </is>
      </c>
      <c r="C49" s="7" t="inlineStr">
        <is>
          <t>Krishna Subramanian</t>
        </is>
      </c>
      <c r="D49" s="6" t="inlineStr">
        <is>
          <t>c1bccf04-709d-4e7a-a1e9-ed5669ac077f</t>
        </is>
      </c>
      <c r="E49" s="8" t="n">
        <v>79.22</v>
      </c>
      <c r="F49" s="8" t="n">
        <v>100</v>
      </c>
      <c r="G49" s="8" t="n">
        <v>12.89</v>
      </c>
      <c r="H49" s="8" t="n">
        <v>100</v>
      </c>
      <c r="I49" s="8" t="n">
        <v>100</v>
      </c>
      <c r="J49" s="8" t="n">
        <v>80</v>
      </c>
      <c r="K49" s="8" t="n">
        <v>84</v>
      </c>
      <c r="L49" s="8" t="n">
        <v>68.84999999999999</v>
      </c>
      <c r="M49" s="6" t="inlineStr">
        <is>
          <t>Hire</t>
        </is>
      </c>
      <c r="N49" s="9" t="inlineStr">
        <is>
          <t>Senior Data Scientist with 5.9 YOE; demonstrates 5.9 years relevant experience, with high semantic alignment to AI Engineering.</t>
        </is>
      </c>
      <c r="O49" s="6" t="inlineStr">
        <is>
          <t>Parsed Successfully</t>
        </is>
      </c>
    </row>
    <row r="50">
      <c r="A50" s="2" t="n">
        <v>49</v>
      </c>
      <c r="B50" s="2" t="inlineStr">
        <is>
          <t>CAND_0049538</t>
        </is>
      </c>
      <c r="C50" s="3" t="inlineStr">
        <is>
          <t>Sanjay Bose</t>
        </is>
      </c>
      <c r="D50" s="2" t="inlineStr">
        <is>
          <t>c1bccf04-709d-4e7a-a1e9-ed5669ac077f</t>
        </is>
      </c>
      <c r="E50" s="4" t="n">
        <v>79.18000000000001</v>
      </c>
      <c r="F50" s="4" t="n">
        <v>100</v>
      </c>
      <c r="G50" s="4" t="n">
        <v>12.89</v>
      </c>
      <c r="H50" s="4" t="n">
        <v>100</v>
      </c>
      <c r="I50" s="4" t="n">
        <v>100</v>
      </c>
      <c r="J50" s="4" t="n">
        <v>80</v>
      </c>
      <c r="K50" s="4" t="n">
        <v>62</v>
      </c>
      <c r="L50" s="4" t="n">
        <v>90</v>
      </c>
      <c r="M50" s="2" t="inlineStr">
        <is>
          <t>Hire</t>
        </is>
      </c>
      <c r="N50" s="5" t="inlineStr">
        <is>
          <t>Applied ML Engineer with 5.8 YOE; demonstrates 5.8 years relevant experience, with high semantic alignment to AI Engineering.</t>
        </is>
      </c>
      <c r="O50" s="2" t="inlineStr">
        <is>
          <t>Parsed Successfully</t>
        </is>
      </c>
    </row>
    <row r="51">
      <c r="A51" s="6" t="n">
        <v>50</v>
      </c>
      <c r="B51" s="6" t="inlineStr">
        <is>
          <t>CAND_0018499</t>
        </is>
      </c>
      <c r="C51" s="7" t="inlineStr">
        <is>
          <t>Aarav Trivedi</t>
        </is>
      </c>
      <c r="D51" s="6" t="inlineStr">
        <is>
          <t>c1bccf04-709d-4e7a-a1e9-ed5669ac077f</t>
        </is>
      </c>
      <c r="E51" s="8" t="n">
        <v>79.09999999999999</v>
      </c>
      <c r="F51" s="8" t="n">
        <v>100</v>
      </c>
      <c r="G51" s="8" t="n">
        <v>12.89</v>
      </c>
      <c r="H51" s="8" t="n">
        <v>100</v>
      </c>
      <c r="I51" s="8" t="n">
        <v>100</v>
      </c>
      <c r="J51" s="8" t="n">
        <v>80</v>
      </c>
      <c r="K51" s="8" t="n">
        <v>74</v>
      </c>
      <c r="L51" s="8" t="n">
        <v>76.5</v>
      </c>
      <c r="M51" s="6" t="inlineStr">
        <is>
          <t>Hire</t>
        </is>
      </c>
      <c r="N51" s="9" t="inlineStr">
        <is>
          <t>Senior Machine Learning Engineer with 7.2 YOE; demonstrates 7.2 years relevant experience, with high semantic alignment to AI Engineering.</t>
        </is>
      </c>
      <c r="O51" s="6" t="inlineStr">
        <is>
          <t>Parsed Successfully</t>
        </is>
      </c>
    </row>
    <row r="52">
      <c r="A52" s="2" t="n">
        <v>51</v>
      </c>
      <c r="B52" s="2" t="inlineStr">
        <is>
          <t>CAND_0067717</t>
        </is>
      </c>
      <c r="C52" s="3" t="inlineStr">
        <is>
          <t>Kavya Bose</t>
        </is>
      </c>
      <c r="D52" s="2" t="inlineStr">
        <is>
          <t>c1bccf04-709d-4e7a-a1e9-ed5669ac077f</t>
        </is>
      </c>
      <c r="E52" s="4" t="n">
        <v>79.09999999999999</v>
      </c>
      <c r="F52" s="4" t="n">
        <v>100</v>
      </c>
      <c r="G52" s="4" t="n">
        <v>17.78</v>
      </c>
      <c r="H52" s="4" t="n">
        <v>100</v>
      </c>
      <c r="I52" s="4" t="n">
        <v>100</v>
      </c>
      <c r="J52" s="4" t="n">
        <v>80</v>
      </c>
      <c r="K52" s="4" t="n">
        <v>62</v>
      </c>
      <c r="L52" s="4" t="n">
        <v>68.84999999999999</v>
      </c>
      <c r="M52" s="2" t="inlineStr">
        <is>
          <t>Hire</t>
        </is>
      </c>
      <c r="N52" s="5" t="inlineStr">
        <is>
          <t>AI Specialist with 6.9 YOE; demonstrates 6.9 years relevant experience, with high semantic alignment to AI Engineering.</t>
        </is>
      </c>
      <c r="O52" s="2" t="inlineStr">
        <is>
          <t>Parsed Successfully</t>
        </is>
      </c>
    </row>
    <row r="53">
      <c r="A53" s="6" t="n">
        <v>52</v>
      </c>
      <c r="B53" s="6" t="inlineStr">
        <is>
          <t>CAND_0078042</t>
        </is>
      </c>
      <c r="C53" s="7" t="inlineStr">
        <is>
          <t>Neha Shah</t>
        </is>
      </c>
      <c r="D53" s="6" t="inlineStr">
        <is>
          <t>c1bccf04-709d-4e7a-a1e9-ed5669ac077f</t>
        </is>
      </c>
      <c r="E53" s="8" t="n">
        <v>79.09999999999999</v>
      </c>
      <c r="F53" s="8" t="n">
        <v>100</v>
      </c>
      <c r="G53" s="8" t="n">
        <v>12.89</v>
      </c>
      <c r="H53" s="8" t="n">
        <v>95.5</v>
      </c>
      <c r="I53" s="8" t="n">
        <v>100</v>
      </c>
      <c r="J53" s="8" t="n">
        <v>80</v>
      </c>
      <c r="K53" s="8" t="n">
        <v>74</v>
      </c>
      <c r="L53" s="8" t="n">
        <v>90</v>
      </c>
      <c r="M53" s="6" t="inlineStr">
        <is>
          <t>Hire</t>
        </is>
      </c>
      <c r="N53" s="9" t="inlineStr">
        <is>
          <t>Applied ML Engineer with 4.7 YOE; demonstrates 4.7 years relevant experience, with high semantic alignment to AI Engineering.</t>
        </is>
      </c>
      <c r="O53" s="6" t="inlineStr">
        <is>
          <t>Parsed Successfully</t>
        </is>
      </c>
    </row>
    <row r="54">
      <c r="A54" s="2" t="n">
        <v>53</v>
      </c>
      <c r="B54" s="2" t="inlineStr">
        <is>
          <t>CAND_0081053</t>
        </is>
      </c>
      <c r="C54" s="3" t="inlineStr">
        <is>
          <t>Om Chopra</t>
        </is>
      </c>
      <c r="D54" s="2" t="inlineStr">
        <is>
          <t>c1bccf04-709d-4e7a-a1e9-ed5669ac077f</t>
        </is>
      </c>
      <c r="E54" s="4" t="n">
        <v>79.08</v>
      </c>
      <c r="F54" s="4" t="n">
        <v>100</v>
      </c>
      <c r="G54" s="4" t="n">
        <v>16.89</v>
      </c>
      <c r="H54" s="4" t="n">
        <v>100</v>
      </c>
      <c r="I54" s="4" t="n">
        <v>100</v>
      </c>
      <c r="J54" s="4" t="n">
        <v>80</v>
      </c>
      <c r="K54" s="4" t="n">
        <v>74</v>
      </c>
      <c r="L54" s="4" t="n">
        <v>60</v>
      </c>
      <c r="M54" s="2" t="inlineStr">
        <is>
          <t>Hire</t>
        </is>
      </c>
      <c r="N54" s="5" t="inlineStr">
        <is>
          <t>NLP Engineer with 5.4 YOE; demonstrates 5.4 years relevant experience, with high semantic alignment to AI Engineering (Note: 90 days notice).</t>
        </is>
      </c>
      <c r="O54" s="2" t="inlineStr">
        <is>
          <t>Parsed Successfully</t>
        </is>
      </c>
    </row>
    <row r="55">
      <c r="A55" s="6" t="n">
        <v>54</v>
      </c>
      <c r="B55" s="6" t="inlineStr">
        <is>
          <t>CAND_0005311</t>
        </is>
      </c>
      <c r="C55" s="7" t="inlineStr">
        <is>
          <t>Naina Tiwari</t>
        </is>
      </c>
      <c r="D55" s="6" t="inlineStr">
        <is>
          <t>c1bccf04-709d-4e7a-a1e9-ed5669ac077f</t>
        </is>
      </c>
      <c r="E55" s="8" t="n">
        <v>79.03</v>
      </c>
      <c r="F55" s="8" t="n">
        <v>100</v>
      </c>
      <c r="G55" s="8" t="n">
        <v>16.89</v>
      </c>
      <c r="H55" s="8" t="n">
        <v>100</v>
      </c>
      <c r="I55" s="8" t="n">
        <v>100</v>
      </c>
      <c r="J55" s="8" t="n">
        <v>85</v>
      </c>
      <c r="K55" s="8" t="n">
        <v>74</v>
      </c>
      <c r="L55" s="8" t="n">
        <v>54</v>
      </c>
      <c r="M55" s="6" t="inlineStr">
        <is>
          <t>Hire</t>
        </is>
      </c>
      <c r="N55" s="9" t="inlineStr">
        <is>
          <t>AI Research Engineer with 5.7 YOE; demonstrates 5.7 years relevant experience, with high semantic alignment to AI Engineering.</t>
        </is>
      </c>
      <c r="O55" s="6" t="inlineStr">
        <is>
          <t>Parsed Successfully</t>
        </is>
      </c>
    </row>
    <row r="56">
      <c r="A56" s="2" t="n">
        <v>55</v>
      </c>
      <c r="B56" s="2" t="inlineStr">
        <is>
          <t>CAND_0015967</t>
        </is>
      </c>
      <c r="C56" s="3" t="inlineStr">
        <is>
          <t>Advik Sethi</t>
        </is>
      </c>
      <c r="D56" s="2" t="inlineStr">
        <is>
          <t>c1bccf04-709d-4e7a-a1e9-ed5669ac077f</t>
        </is>
      </c>
      <c r="E56" s="4" t="n">
        <v>79.03</v>
      </c>
      <c r="F56" s="4" t="n">
        <v>100</v>
      </c>
      <c r="G56" s="4" t="n">
        <v>21.78</v>
      </c>
      <c r="H56" s="4" t="n">
        <v>100</v>
      </c>
      <c r="I56" s="4" t="n">
        <v>80</v>
      </c>
      <c r="J56" s="4" t="n">
        <v>85</v>
      </c>
      <c r="K56" s="4" t="n">
        <v>72</v>
      </c>
      <c r="L56" s="4" t="n">
        <v>76.5</v>
      </c>
      <c r="M56" s="2" t="inlineStr">
        <is>
          <t>Hire</t>
        </is>
      </c>
      <c r="N56" s="5" t="inlineStr">
        <is>
          <t>Senior Software Engineer (ML) with 5.4 YOE; demonstrates 5.4 years relevant experience, with high semantic alignment to AI Engineering.</t>
        </is>
      </c>
      <c r="O56" s="2" t="inlineStr">
        <is>
          <t>Parsed Successfully</t>
        </is>
      </c>
    </row>
    <row r="57">
      <c r="A57" s="6" t="n">
        <v>56</v>
      </c>
      <c r="B57" s="6" t="inlineStr">
        <is>
          <t>CAND_0064904</t>
        </is>
      </c>
      <c r="C57" s="7" t="inlineStr">
        <is>
          <t>Karan Trivedi</t>
        </is>
      </c>
      <c r="D57" s="6" t="inlineStr">
        <is>
          <t>c1bccf04-709d-4e7a-a1e9-ed5669ac077f</t>
        </is>
      </c>
      <c r="E57" s="8" t="n">
        <v>79.03</v>
      </c>
      <c r="F57" s="8" t="n">
        <v>100</v>
      </c>
      <c r="G57" s="8" t="n">
        <v>17.78</v>
      </c>
      <c r="H57" s="8" t="n">
        <v>98.5</v>
      </c>
      <c r="I57" s="8" t="n">
        <v>100</v>
      </c>
      <c r="J57" s="8" t="n">
        <v>80</v>
      </c>
      <c r="K57" s="8" t="n">
        <v>74</v>
      </c>
      <c r="L57" s="8" t="n">
        <v>60</v>
      </c>
      <c r="M57" s="6" t="inlineStr">
        <is>
          <t>Hire</t>
        </is>
      </c>
      <c r="N57" s="9" t="inlineStr">
        <is>
          <t>AI Engineer with 4.9 YOE; demonstrates 4.9 years relevant experience, with high semantic alignment to AI Engineering (Note: 90 days notice).</t>
        </is>
      </c>
      <c r="O57" s="6" t="inlineStr">
        <is>
          <t>Parsed Successfully</t>
        </is>
      </c>
    </row>
    <row r="58">
      <c r="A58" s="2" t="n">
        <v>57</v>
      </c>
      <c r="B58" s="2" t="inlineStr">
        <is>
          <t>CAND_0026532</t>
        </is>
      </c>
      <c r="C58" s="3" t="inlineStr">
        <is>
          <t>Aarav Sethi</t>
        </is>
      </c>
      <c r="D58" s="2" t="inlineStr">
        <is>
          <t>c1bccf04-709d-4e7a-a1e9-ed5669ac077f</t>
        </is>
      </c>
      <c r="E58" s="4" t="n">
        <v>78.91</v>
      </c>
      <c r="F58" s="4" t="n">
        <v>100</v>
      </c>
      <c r="G58" s="4" t="n">
        <v>21.78</v>
      </c>
      <c r="H58" s="4" t="n">
        <v>97</v>
      </c>
      <c r="I58" s="4" t="n">
        <v>100</v>
      </c>
      <c r="J58" s="4" t="n">
        <v>75</v>
      </c>
      <c r="K58" s="4" t="n">
        <v>74</v>
      </c>
      <c r="L58" s="4" t="n">
        <v>51</v>
      </c>
      <c r="M58" s="2" t="inlineStr">
        <is>
          <t>Hire</t>
        </is>
      </c>
      <c r="N58" s="5" t="inlineStr">
        <is>
          <t>Recommendation Systems Engineer with 4.8 YOE; demonstrates 4.8 years relevant experience, with high semantic alignment to AI Engineering (Note: 90 days notice).</t>
        </is>
      </c>
      <c r="O58" s="2" t="inlineStr">
        <is>
          <t>Parsed Successfully</t>
        </is>
      </c>
    </row>
    <row r="59">
      <c r="A59" s="6" t="n">
        <v>58</v>
      </c>
      <c r="B59" s="6" t="inlineStr">
        <is>
          <t>CAND_0099806</t>
        </is>
      </c>
      <c r="C59" s="7" t="inlineStr">
        <is>
          <t>Pranav Subramanian</t>
        </is>
      </c>
      <c r="D59" s="6" t="inlineStr">
        <is>
          <t>c1bccf04-709d-4e7a-a1e9-ed5669ac077f</t>
        </is>
      </c>
      <c r="E59" s="8" t="n">
        <v>78.88</v>
      </c>
      <c r="F59" s="8" t="n">
        <v>100</v>
      </c>
      <c r="G59" s="8" t="n">
        <v>12.89</v>
      </c>
      <c r="H59" s="8" t="n">
        <v>94</v>
      </c>
      <c r="I59" s="8" t="n">
        <v>100</v>
      </c>
      <c r="J59" s="8" t="n">
        <v>80</v>
      </c>
      <c r="K59" s="8" t="n">
        <v>74</v>
      </c>
      <c r="L59" s="8" t="n">
        <v>90</v>
      </c>
      <c r="M59" s="6" t="inlineStr">
        <is>
          <t>Hire</t>
        </is>
      </c>
      <c r="N59" s="9" t="inlineStr">
        <is>
          <t>AI Engineer with 4.6 YOE; demonstrates 4.6 years relevant experience, with high semantic alignment to AI Engineering.</t>
        </is>
      </c>
      <c r="O59" s="6" t="inlineStr">
        <is>
          <t>Parsed Successfully</t>
        </is>
      </c>
    </row>
    <row r="60">
      <c r="A60" s="2" t="n">
        <v>59</v>
      </c>
      <c r="B60" s="2" t="inlineStr">
        <is>
          <t>CAND_0081086</t>
        </is>
      </c>
      <c r="C60" s="3" t="inlineStr">
        <is>
          <t>Tanvi Bose</t>
        </is>
      </c>
      <c r="D60" s="2" t="inlineStr">
        <is>
          <t>c1bccf04-709d-4e7a-a1e9-ed5669ac077f</t>
        </is>
      </c>
      <c r="E60" s="4" t="n">
        <v>78.87</v>
      </c>
      <c r="F60" s="4" t="n">
        <v>100</v>
      </c>
      <c r="G60" s="4" t="n">
        <v>17.78</v>
      </c>
      <c r="H60" s="4" t="n">
        <v>100</v>
      </c>
      <c r="I60" s="4" t="n">
        <v>100</v>
      </c>
      <c r="J60" s="4" t="n">
        <v>75</v>
      </c>
      <c r="K60" s="4" t="n">
        <v>74</v>
      </c>
      <c r="L60" s="4" t="n">
        <v>57.38</v>
      </c>
      <c r="M60" s="2" t="inlineStr">
        <is>
          <t>Hire</t>
        </is>
      </c>
      <c r="N60" s="5" t="inlineStr">
        <is>
          <t>AI Specialist with 5.2 YOE; demonstrates 5.2 years relevant experience, with high semantic alignment to AI Engineering.</t>
        </is>
      </c>
      <c r="O60" s="2" t="inlineStr">
        <is>
          <t>Parsed Successfully</t>
        </is>
      </c>
    </row>
    <row r="61">
      <c r="A61" s="6" t="n">
        <v>60</v>
      </c>
      <c r="B61" s="6" t="inlineStr">
        <is>
          <t>CAND_0040887</t>
        </is>
      </c>
      <c r="C61" s="7" t="inlineStr">
        <is>
          <t>Meera Kumar</t>
        </is>
      </c>
      <c r="D61" s="6" t="inlineStr">
        <is>
          <t>c1bccf04-709d-4e7a-a1e9-ed5669ac077f</t>
        </is>
      </c>
      <c r="E61" s="8" t="n">
        <v>78.84999999999999</v>
      </c>
      <c r="F61" s="8" t="n">
        <v>100</v>
      </c>
      <c r="G61" s="8" t="n">
        <v>12.89</v>
      </c>
      <c r="H61" s="8" t="n">
        <v>95.5</v>
      </c>
      <c r="I61" s="8" t="n">
        <v>100</v>
      </c>
      <c r="J61" s="8" t="n">
        <v>75</v>
      </c>
      <c r="K61" s="8" t="n">
        <v>74</v>
      </c>
      <c r="L61" s="8" t="n">
        <v>90</v>
      </c>
      <c r="M61" s="6" t="inlineStr">
        <is>
          <t>Hire</t>
        </is>
      </c>
      <c r="N61" s="9" t="inlineStr">
        <is>
          <t>Machine Learning Engineer with 4.7 YOE; demonstrates 4.7 years relevant experience, with high semantic alignment to AI Engineering.</t>
        </is>
      </c>
      <c r="O61" s="6" t="inlineStr">
        <is>
          <t>Parsed Successfully</t>
        </is>
      </c>
    </row>
    <row r="62">
      <c r="A62" s="2" t="n">
        <v>61</v>
      </c>
      <c r="B62" s="2" t="inlineStr">
        <is>
          <t>CAND_0052335</t>
        </is>
      </c>
      <c r="C62" s="3" t="inlineStr">
        <is>
          <t>Vivaan Sen</t>
        </is>
      </c>
      <c r="D62" s="2" t="inlineStr">
        <is>
          <t>c1bccf04-709d-4e7a-a1e9-ed5669ac077f</t>
        </is>
      </c>
      <c r="E62" s="4" t="n">
        <v>78.83</v>
      </c>
      <c r="F62" s="4" t="n">
        <v>100</v>
      </c>
      <c r="G62" s="4" t="n">
        <v>8.890000000000001</v>
      </c>
      <c r="H62" s="4" t="n">
        <v>100</v>
      </c>
      <c r="I62" s="4" t="n">
        <v>100</v>
      </c>
      <c r="J62" s="4" t="n">
        <v>80</v>
      </c>
      <c r="K62" s="4" t="n">
        <v>80</v>
      </c>
      <c r="L62" s="4" t="n">
        <v>81</v>
      </c>
      <c r="M62" s="2" t="inlineStr">
        <is>
          <t>Hire</t>
        </is>
      </c>
      <c r="N62" s="5" t="inlineStr">
        <is>
          <t>Applied ML Engineer with 6.4 YOE; demonstrates 6.4 years relevant experience, with high semantic alignment to AI Engineering.</t>
        </is>
      </c>
      <c r="O62" s="2" t="inlineStr">
        <is>
          <t>Parsed Successfully</t>
        </is>
      </c>
    </row>
    <row r="63">
      <c r="A63" s="6" t="n">
        <v>62</v>
      </c>
      <c r="B63" s="6" t="inlineStr">
        <is>
          <t>CAND_0054318</t>
        </is>
      </c>
      <c r="C63" s="7" t="inlineStr">
        <is>
          <t>Yash Goyal</t>
        </is>
      </c>
      <c r="D63" s="6" t="inlineStr">
        <is>
          <t>c1bccf04-709d-4e7a-a1e9-ed5669ac077f</t>
        </is>
      </c>
      <c r="E63" s="8" t="n">
        <v>78.83</v>
      </c>
      <c r="F63" s="8" t="n">
        <v>100</v>
      </c>
      <c r="G63" s="8" t="n">
        <v>25.78</v>
      </c>
      <c r="H63" s="8" t="n">
        <v>77.5</v>
      </c>
      <c r="I63" s="8" t="n">
        <v>100</v>
      </c>
      <c r="J63" s="8" t="n">
        <v>80</v>
      </c>
      <c r="K63" s="8" t="n">
        <v>80</v>
      </c>
      <c r="L63" s="8" t="n">
        <v>81</v>
      </c>
      <c r="M63" s="6" t="inlineStr">
        <is>
          <t>Hire</t>
        </is>
      </c>
      <c r="N63" s="9" t="inlineStr">
        <is>
          <t>AI Research Engineer with 3.5 YOE; demonstrates high semantic alignment to AI Engineering.</t>
        </is>
      </c>
      <c r="O63" s="6" t="inlineStr">
        <is>
          <t>Parsed Successfully</t>
        </is>
      </c>
    </row>
    <row r="64">
      <c r="A64" s="2" t="n">
        <v>63</v>
      </c>
      <c r="B64" s="2" t="inlineStr">
        <is>
          <t>CAND_0075439</t>
        </is>
      </c>
      <c r="C64" s="3" t="inlineStr">
        <is>
          <t>Pooja Mehta</t>
        </is>
      </c>
      <c r="D64" s="2" t="inlineStr">
        <is>
          <t>c1bccf04-709d-4e7a-a1e9-ed5669ac077f</t>
        </is>
      </c>
      <c r="E64" s="4" t="n">
        <v>78.81</v>
      </c>
      <c r="F64" s="4" t="n">
        <v>100</v>
      </c>
      <c r="G64" s="4" t="n">
        <v>21.78</v>
      </c>
      <c r="H64" s="4" t="n">
        <v>89.5</v>
      </c>
      <c r="I64" s="4" t="n">
        <v>100</v>
      </c>
      <c r="J64" s="4" t="n">
        <v>70</v>
      </c>
      <c r="K64" s="4" t="n">
        <v>74</v>
      </c>
      <c r="L64" s="4" t="n">
        <v>76.5</v>
      </c>
      <c r="M64" s="2" t="inlineStr">
        <is>
          <t>Hire</t>
        </is>
      </c>
      <c r="N64" s="5" t="inlineStr">
        <is>
          <t>Machine Learning Engineer with 4.3 YOE; demonstrates high semantic alignment to AI Engineering.</t>
        </is>
      </c>
      <c r="O64" s="2" t="inlineStr">
        <is>
          <t>Parsed Successfully</t>
        </is>
      </c>
    </row>
    <row r="65">
      <c r="A65" s="6" t="n">
        <v>64</v>
      </c>
      <c r="B65" s="6" t="inlineStr">
        <is>
          <t>CAND_0050454</t>
        </is>
      </c>
      <c r="C65" s="7" t="inlineStr">
        <is>
          <t>Saanvi Bansal</t>
        </is>
      </c>
      <c r="D65" s="6" t="inlineStr">
        <is>
          <t>c1bccf04-709d-4e7a-a1e9-ed5669ac077f</t>
        </is>
      </c>
      <c r="E65" s="8" t="n">
        <v>78.8</v>
      </c>
      <c r="F65" s="8" t="n">
        <v>100</v>
      </c>
      <c r="G65" s="8" t="n">
        <v>8</v>
      </c>
      <c r="H65" s="8" t="n">
        <v>100</v>
      </c>
      <c r="I65" s="8" t="n">
        <v>100</v>
      </c>
      <c r="J65" s="8" t="n">
        <v>80</v>
      </c>
      <c r="K65" s="8" t="n">
        <v>74</v>
      </c>
      <c r="L65" s="8" t="n">
        <v>90</v>
      </c>
      <c r="M65" s="6" t="inlineStr">
        <is>
          <t>Hire</t>
        </is>
      </c>
      <c r="N65" s="9" t="inlineStr">
        <is>
          <t>AI Engineer with 6.8 YOE; demonstrates 6.8 years relevant experience, with high semantic alignment to AI Engineering.</t>
        </is>
      </c>
      <c r="O65" s="6" t="inlineStr">
        <is>
          <t>Parsed Successfully</t>
        </is>
      </c>
    </row>
    <row r="66">
      <c r="A66" s="2" t="n">
        <v>65</v>
      </c>
      <c r="B66" s="2" t="inlineStr">
        <is>
          <t>CAND_0073620</t>
        </is>
      </c>
      <c r="C66" s="3" t="inlineStr">
        <is>
          <t>Ira Goyal</t>
        </is>
      </c>
      <c r="D66" s="2" t="inlineStr">
        <is>
          <t>c1bccf04-709d-4e7a-a1e9-ed5669ac077f</t>
        </is>
      </c>
      <c r="E66" s="4" t="n">
        <v>78.79000000000001</v>
      </c>
      <c r="F66" s="4" t="n">
        <v>100</v>
      </c>
      <c r="G66" s="4" t="n">
        <v>30.67</v>
      </c>
      <c r="H66" s="4" t="n">
        <v>91</v>
      </c>
      <c r="I66" s="4" t="n">
        <v>80</v>
      </c>
      <c r="J66" s="4" t="n">
        <v>85</v>
      </c>
      <c r="K66" s="4" t="n">
        <v>74</v>
      </c>
      <c r="L66" s="4" t="n">
        <v>61.2</v>
      </c>
      <c r="M66" s="2" t="inlineStr">
        <is>
          <t>Hire</t>
        </is>
      </c>
      <c r="N66" s="5" t="inlineStr">
        <is>
          <t>AI Research Engineer with 4.4 YOE; demonstrates 4.4 years relevant experience, with high semantic alignment to AI Engineering (Note: 90 days notice).</t>
        </is>
      </c>
      <c r="O66" s="2" t="inlineStr">
        <is>
          <t>Parsed Successfully</t>
        </is>
      </c>
    </row>
    <row r="67">
      <c r="A67" s="6" t="n">
        <v>66</v>
      </c>
      <c r="B67" s="6" t="inlineStr">
        <is>
          <t>CAND_0065786</t>
        </is>
      </c>
      <c r="C67" s="7" t="inlineStr">
        <is>
          <t>Advaith Pandey</t>
        </is>
      </c>
      <c r="D67" s="6" t="inlineStr">
        <is>
          <t>c1bccf04-709d-4e7a-a1e9-ed5669ac077f</t>
        </is>
      </c>
      <c r="E67" s="8" t="n">
        <v>78.75</v>
      </c>
      <c r="F67" s="8" t="n">
        <v>100</v>
      </c>
      <c r="G67" s="8" t="n">
        <v>12.89</v>
      </c>
      <c r="H67" s="8" t="n">
        <v>98.5</v>
      </c>
      <c r="I67" s="8" t="n">
        <v>100</v>
      </c>
      <c r="J67" s="8" t="n">
        <v>85</v>
      </c>
      <c r="K67" s="8" t="n">
        <v>62</v>
      </c>
      <c r="L67" s="8" t="n">
        <v>81</v>
      </c>
      <c r="M67" s="6" t="inlineStr">
        <is>
          <t>Hire</t>
        </is>
      </c>
      <c r="N67" s="9" t="inlineStr">
        <is>
          <t>AI Specialist with 4.9 YOE; demonstrates 4.9 years relevant experience, with high semantic alignment to AI Engineering.</t>
        </is>
      </c>
      <c r="O67" s="6" t="inlineStr">
        <is>
          <t>Parsed Successfully</t>
        </is>
      </c>
    </row>
    <row r="68">
      <c r="A68" s="2" t="n">
        <v>67</v>
      </c>
      <c r="B68" s="2" t="inlineStr">
        <is>
          <t>CAND_0054100</t>
        </is>
      </c>
      <c r="C68" s="3" t="inlineStr">
        <is>
          <t>Aanya Patel</t>
        </is>
      </c>
      <c r="D68" s="2" t="inlineStr">
        <is>
          <t>c1bccf04-709d-4e7a-a1e9-ed5669ac077f</t>
        </is>
      </c>
      <c r="E68" s="4" t="n">
        <v>78.73</v>
      </c>
      <c r="F68" s="4" t="n">
        <v>100</v>
      </c>
      <c r="G68" s="4" t="n">
        <v>12.89</v>
      </c>
      <c r="H68" s="4" t="n">
        <v>100</v>
      </c>
      <c r="I68" s="4" t="n">
        <v>100</v>
      </c>
      <c r="J68" s="4" t="n">
        <v>80</v>
      </c>
      <c r="K68" s="4" t="n">
        <v>62</v>
      </c>
      <c r="L68" s="4" t="n">
        <v>81</v>
      </c>
      <c r="M68" s="2" t="inlineStr">
        <is>
          <t>Hire</t>
        </is>
      </c>
      <c r="N68" s="5" t="inlineStr">
        <is>
          <t>Junior ML Engineer with 6.0 YOE; demonstrates 6.0 years relevant experience, with high semantic alignment to AI Engineering.</t>
        </is>
      </c>
      <c r="O68" s="2" t="inlineStr">
        <is>
          <t>Parsed Successfully</t>
        </is>
      </c>
    </row>
    <row r="69">
      <c r="A69" s="6" t="n">
        <v>68</v>
      </c>
      <c r="B69" s="6" t="inlineStr">
        <is>
          <t>CAND_0042029</t>
        </is>
      </c>
      <c r="C69" s="7" t="inlineStr">
        <is>
          <t>Dhruv Joshi</t>
        </is>
      </c>
      <c r="D69" s="6" t="inlineStr">
        <is>
          <t>c1bccf04-709d-4e7a-a1e9-ed5669ac077f</t>
        </is>
      </c>
      <c r="E69" s="8" t="n">
        <v>78.72</v>
      </c>
      <c r="F69" s="8" t="n">
        <v>100</v>
      </c>
      <c r="G69" s="8" t="n">
        <v>8.890000000000001</v>
      </c>
      <c r="H69" s="8" t="n">
        <v>100</v>
      </c>
      <c r="I69" s="8" t="n">
        <v>100</v>
      </c>
      <c r="J69" s="8" t="n">
        <v>80</v>
      </c>
      <c r="K69" s="8" t="n">
        <v>90</v>
      </c>
      <c r="L69" s="8" t="n">
        <v>68.84999999999999</v>
      </c>
      <c r="M69" s="6" t="inlineStr">
        <is>
          <t>Hire</t>
        </is>
      </c>
      <c r="N69" s="9" t="inlineStr">
        <is>
          <t>Senior Data Scientist with 6.5 YOE; demonstrates 6.5 years relevant experience, with high semantic alignment to AI Engineering.</t>
        </is>
      </c>
      <c r="O69" s="6" t="inlineStr">
        <is>
          <t>Parsed Successfully</t>
        </is>
      </c>
    </row>
    <row r="70">
      <c r="A70" s="2" t="n">
        <v>69</v>
      </c>
      <c r="B70" s="2" t="inlineStr">
        <is>
          <t>CAND_0065430</t>
        </is>
      </c>
      <c r="C70" s="3" t="inlineStr">
        <is>
          <t>Dev Singh</t>
        </is>
      </c>
      <c r="D70" s="2" t="inlineStr">
        <is>
          <t>c1bccf04-709d-4e7a-a1e9-ed5669ac077f</t>
        </is>
      </c>
      <c r="E70" s="4" t="n">
        <v>78.70999999999999</v>
      </c>
      <c r="F70" s="4" t="n">
        <v>100</v>
      </c>
      <c r="G70" s="4" t="n">
        <v>17.78</v>
      </c>
      <c r="H70" s="4" t="n">
        <v>91</v>
      </c>
      <c r="I70" s="4" t="n">
        <v>100</v>
      </c>
      <c r="J70" s="4" t="n">
        <v>75</v>
      </c>
      <c r="K70" s="4" t="n">
        <v>74</v>
      </c>
      <c r="L70" s="4" t="n">
        <v>81</v>
      </c>
      <c r="M70" s="2" t="inlineStr">
        <is>
          <t>Hire</t>
        </is>
      </c>
      <c r="N70" s="5" t="inlineStr">
        <is>
          <t>ML Engineer with 4.4 YOE; demonstrates 4.4 years relevant experience, with high semantic alignment to AI Engineering.</t>
        </is>
      </c>
      <c r="O70" s="2" t="inlineStr">
        <is>
          <t>Parsed Successfully</t>
        </is>
      </c>
    </row>
    <row r="71">
      <c r="A71" s="6" t="n">
        <v>70</v>
      </c>
      <c r="B71" s="6" t="inlineStr">
        <is>
          <t>CAND_0002120</t>
        </is>
      </c>
      <c r="C71" s="7" t="inlineStr">
        <is>
          <t>Dhruv Khanna</t>
        </is>
      </c>
      <c r="D71" s="6" t="inlineStr">
        <is>
          <t>c1bccf04-709d-4e7a-a1e9-ed5669ac077f</t>
        </is>
      </c>
      <c r="E71" s="8" t="n">
        <v>78.58</v>
      </c>
      <c r="F71" s="8" t="n">
        <v>100</v>
      </c>
      <c r="G71" s="8" t="n">
        <v>8.890000000000001</v>
      </c>
      <c r="H71" s="8" t="n">
        <v>100</v>
      </c>
      <c r="I71" s="8" t="n">
        <v>100</v>
      </c>
      <c r="J71" s="8" t="n">
        <v>75</v>
      </c>
      <c r="K71" s="8" t="n">
        <v>80</v>
      </c>
      <c r="L71" s="8" t="n">
        <v>81</v>
      </c>
      <c r="M71" s="6" t="inlineStr">
        <is>
          <t>Hire</t>
        </is>
      </c>
      <c r="N71" s="9" t="inlineStr">
        <is>
          <t>ML Engineer with 6.5 YOE; demonstrates 6.5 years relevant experience, with high semantic alignment to AI Engineering.</t>
        </is>
      </c>
      <c r="O71" s="6" t="inlineStr">
        <is>
          <t>Parsed Successfully</t>
        </is>
      </c>
    </row>
    <row r="72">
      <c r="A72" s="2" t="n">
        <v>71</v>
      </c>
      <c r="B72" s="2" t="inlineStr">
        <is>
          <t>CAND_0042100</t>
        </is>
      </c>
      <c r="C72" s="3" t="inlineStr">
        <is>
          <t>Siya Trivedi</t>
        </is>
      </c>
      <c r="D72" s="2" t="inlineStr">
        <is>
          <t>c1bccf04-709d-4e7a-a1e9-ed5669ac077f</t>
        </is>
      </c>
      <c r="E72" s="4" t="n">
        <v>78.58</v>
      </c>
      <c r="F72" s="4" t="n">
        <v>100</v>
      </c>
      <c r="G72" s="4" t="n">
        <v>12.89</v>
      </c>
      <c r="H72" s="4" t="n">
        <v>100</v>
      </c>
      <c r="I72" s="4" t="n">
        <v>100</v>
      </c>
      <c r="J72" s="4" t="n">
        <v>80</v>
      </c>
      <c r="K72" s="4" t="n">
        <v>80</v>
      </c>
      <c r="L72" s="4" t="n">
        <v>60</v>
      </c>
      <c r="M72" s="2" t="inlineStr">
        <is>
          <t>Hire</t>
        </is>
      </c>
      <c r="N72" s="5" t="inlineStr">
        <is>
          <t>Machine Learning Engineer with 7.3 YOE; demonstrates 7.3 years relevant experience, with high semantic alignment to AI Engineering (Note: 90 days notice).</t>
        </is>
      </c>
      <c r="O72" s="2" t="inlineStr">
        <is>
          <t>Parsed Successfully</t>
        </is>
      </c>
    </row>
    <row r="73">
      <c r="A73" s="6" t="n">
        <v>72</v>
      </c>
      <c r="B73" s="6" t="inlineStr">
        <is>
          <t>CAND_0069638</t>
        </is>
      </c>
      <c r="C73" s="7" t="inlineStr">
        <is>
          <t>Diya Gupta</t>
        </is>
      </c>
      <c r="D73" s="6" t="inlineStr">
        <is>
          <t>c1bccf04-709d-4e7a-a1e9-ed5669ac077f</t>
        </is>
      </c>
      <c r="E73" s="8" t="n">
        <v>78.55</v>
      </c>
      <c r="F73" s="8" t="n">
        <v>100</v>
      </c>
      <c r="G73" s="8" t="n">
        <v>8.890000000000001</v>
      </c>
      <c r="H73" s="8" t="n">
        <v>100</v>
      </c>
      <c r="I73" s="8" t="n">
        <v>100</v>
      </c>
      <c r="J73" s="8" t="n">
        <v>85</v>
      </c>
      <c r="K73" s="8" t="n">
        <v>74</v>
      </c>
      <c r="L73" s="8" t="n">
        <v>76.5</v>
      </c>
      <c r="M73" s="6" t="inlineStr">
        <is>
          <t>Hire</t>
        </is>
      </c>
      <c r="N73" s="9" t="inlineStr">
        <is>
          <t>Computer Vision Engineer with 6.2 YOE; demonstrates 6.2 years relevant experience, with high semantic alignment to AI Engineering.</t>
        </is>
      </c>
      <c r="O73" s="6" t="inlineStr">
        <is>
          <t>Parsed Successfully</t>
        </is>
      </c>
    </row>
    <row r="74">
      <c r="A74" s="2" t="n">
        <v>73</v>
      </c>
      <c r="B74" s="2" t="inlineStr">
        <is>
          <t>CAND_0052431</t>
        </is>
      </c>
      <c r="C74" s="3" t="inlineStr">
        <is>
          <t>Dhruv Vora</t>
        </is>
      </c>
      <c r="D74" s="2" t="inlineStr">
        <is>
          <t>c1bccf04-709d-4e7a-a1e9-ed5669ac077f</t>
        </is>
      </c>
      <c r="E74" s="4" t="n">
        <v>78.53</v>
      </c>
      <c r="F74" s="4" t="n">
        <v>100</v>
      </c>
      <c r="G74" s="4" t="n">
        <v>8.890000000000001</v>
      </c>
      <c r="H74" s="4" t="n">
        <v>100</v>
      </c>
      <c r="I74" s="4" t="n">
        <v>100</v>
      </c>
      <c r="J74" s="4" t="n">
        <v>80</v>
      </c>
      <c r="K74" s="4" t="n">
        <v>74</v>
      </c>
      <c r="L74" s="4" t="n">
        <v>81</v>
      </c>
      <c r="M74" s="2" t="inlineStr">
        <is>
          <t>Hire</t>
        </is>
      </c>
      <c r="N74" s="5" t="inlineStr">
        <is>
          <t>ML Engineer with 5.3 YOE; demonstrates 5.3 years relevant experience, with high semantic alignment to AI Engineering.</t>
        </is>
      </c>
      <c r="O74" s="2" t="inlineStr">
        <is>
          <t>Parsed Successfully</t>
        </is>
      </c>
    </row>
    <row r="75">
      <c r="A75" s="6" t="n">
        <v>74</v>
      </c>
      <c r="B75" s="6" t="inlineStr">
        <is>
          <t>CAND_0053591</t>
        </is>
      </c>
      <c r="C75" s="7" t="inlineStr">
        <is>
          <t>Anjali Bhatia</t>
        </is>
      </c>
      <c r="D75" s="6" t="inlineStr">
        <is>
          <t>c1bccf04-709d-4e7a-a1e9-ed5669ac077f</t>
        </is>
      </c>
      <c r="E75" s="8" t="n">
        <v>78.53</v>
      </c>
      <c r="F75" s="8" t="n">
        <v>100</v>
      </c>
      <c r="G75" s="8" t="n">
        <v>8.890000000000001</v>
      </c>
      <c r="H75" s="8" t="n">
        <v>100</v>
      </c>
      <c r="I75" s="8" t="n">
        <v>100</v>
      </c>
      <c r="J75" s="8" t="n">
        <v>80</v>
      </c>
      <c r="K75" s="8" t="n">
        <v>74</v>
      </c>
      <c r="L75" s="8" t="n">
        <v>81</v>
      </c>
      <c r="M75" s="6" t="inlineStr">
        <is>
          <t>Hire</t>
        </is>
      </c>
      <c r="N75" s="9" t="inlineStr">
        <is>
          <t>AI Engineer with 5.3 YOE; demonstrates 5.3 years relevant experience, with high semantic alignment to AI Engineering.</t>
        </is>
      </c>
      <c r="O75" s="6" t="inlineStr">
        <is>
          <t>Parsed Successfully</t>
        </is>
      </c>
    </row>
    <row r="76">
      <c r="A76" s="2" t="n">
        <v>75</v>
      </c>
      <c r="B76" s="2" t="inlineStr">
        <is>
          <t>CAND_0073007</t>
        </is>
      </c>
      <c r="C76" s="3" t="inlineStr">
        <is>
          <t>Ayaan Saxena</t>
        </is>
      </c>
      <c r="D76" s="2" t="inlineStr">
        <is>
          <t>c1bccf04-709d-4e7a-a1e9-ed5669ac077f</t>
        </is>
      </c>
      <c r="E76" s="4" t="n">
        <v>78.53</v>
      </c>
      <c r="F76" s="4" t="n">
        <v>100</v>
      </c>
      <c r="G76" s="4" t="n">
        <v>8.890000000000001</v>
      </c>
      <c r="H76" s="4" t="n">
        <v>100</v>
      </c>
      <c r="I76" s="4" t="n">
        <v>100</v>
      </c>
      <c r="J76" s="4" t="n">
        <v>80</v>
      </c>
      <c r="K76" s="4" t="n">
        <v>74</v>
      </c>
      <c r="L76" s="4" t="n">
        <v>81</v>
      </c>
      <c r="M76" s="2" t="inlineStr">
        <is>
          <t>Hire</t>
        </is>
      </c>
      <c r="N76" s="5" t="inlineStr">
        <is>
          <t>AI Specialist with 5.8 YOE; demonstrates 5.8 years relevant experience, with high semantic alignment to AI Engineering.</t>
        </is>
      </c>
      <c r="O76" s="2" t="inlineStr">
        <is>
          <t>Parsed Successfully</t>
        </is>
      </c>
    </row>
    <row r="77">
      <c r="A77" s="6" t="n">
        <v>76</v>
      </c>
      <c r="B77" s="6" t="inlineStr">
        <is>
          <t>CAND_0041610</t>
        </is>
      </c>
      <c r="C77" s="7" t="inlineStr">
        <is>
          <t>Anil Subramanian</t>
        </is>
      </c>
      <c r="D77" s="6" t="inlineStr">
        <is>
          <t>c1bccf04-709d-4e7a-a1e9-ed5669ac077f</t>
        </is>
      </c>
      <c r="E77" s="8" t="n">
        <v>78.5</v>
      </c>
      <c r="F77" s="8" t="n">
        <v>100</v>
      </c>
      <c r="G77" s="8" t="n">
        <v>12.89</v>
      </c>
      <c r="H77" s="8" t="n">
        <v>100</v>
      </c>
      <c r="I77" s="8" t="n">
        <v>100</v>
      </c>
      <c r="J77" s="8" t="n">
        <v>80</v>
      </c>
      <c r="K77" s="8" t="n">
        <v>62</v>
      </c>
      <c r="L77" s="8" t="n">
        <v>76.5</v>
      </c>
      <c r="M77" s="6" t="inlineStr">
        <is>
          <t>Hire</t>
        </is>
      </c>
      <c r="N77" s="9" t="inlineStr">
        <is>
          <t>Recommendation Systems Engineer with 6.7 YOE; demonstrates 6.7 years relevant experience, with high semantic alignment to AI Engineering.</t>
        </is>
      </c>
      <c r="O77" s="6" t="inlineStr">
        <is>
          <t>Parsed Successfully</t>
        </is>
      </c>
    </row>
    <row r="78">
      <c r="A78" s="2" t="n">
        <v>77</v>
      </c>
      <c r="B78" s="2" t="inlineStr">
        <is>
          <t>CAND_0076251</t>
        </is>
      </c>
      <c r="C78" s="3" t="inlineStr">
        <is>
          <t>Atharv Pandey</t>
        </is>
      </c>
      <c r="D78" s="2" t="inlineStr">
        <is>
          <t>c1bccf04-709d-4e7a-a1e9-ed5669ac077f</t>
        </is>
      </c>
      <c r="E78" s="4" t="n">
        <v>78.42</v>
      </c>
      <c r="F78" s="4" t="n">
        <v>100</v>
      </c>
      <c r="G78" s="4" t="n">
        <v>8.890000000000001</v>
      </c>
      <c r="H78" s="4" t="n">
        <v>100</v>
      </c>
      <c r="I78" s="4" t="n">
        <v>100</v>
      </c>
      <c r="J78" s="4" t="n">
        <v>80</v>
      </c>
      <c r="K78" s="4" t="n">
        <v>84</v>
      </c>
      <c r="L78" s="4" t="n">
        <v>68.84999999999999</v>
      </c>
      <c r="M78" s="2" t="inlineStr">
        <is>
          <t>Hire</t>
        </is>
      </c>
      <c r="N78" s="5" t="inlineStr">
        <is>
          <t>Search Engineer with 7.6 YOE; demonstrates 7.6 years relevant experience, with high semantic alignment to AI Engineering.</t>
        </is>
      </c>
      <c r="O78" s="2" t="inlineStr">
        <is>
          <t>Parsed Successfully</t>
        </is>
      </c>
    </row>
    <row r="79">
      <c r="A79" s="6" t="n">
        <v>78</v>
      </c>
      <c r="B79" s="6" t="inlineStr">
        <is>
          <t>CAND_0096104</t>
        </is>
      </c>
      <c r="C79" s="7" t="inlineStr">
        <is>
          <t>Ritu Shetty</t>
        </is>
      </c>
      <c r="D79" s="6" t="inlineStr">
        <is>
          <t>c1bccf04-709d-4e7a-a1e9-ed5669ac077f</t>
        </is>
      </c>
      <c r="E79" s="8" t="n">
        <v>78.34999999999999</v>
      </c>
      <c r="F79" s="8" t="n">
        <v>100</v>
      </c>
      <c r="G79" s="8" t="n">
        <v>8.890000000000001</v>
      </c>
      <c r="H79" s="8" t="n">
        <v>100</v>
      </c>
      <c r="I79" s="8" t="n">
        <v>100</v>
      </c>
      <c r="J79" s="8" t="n">
        <v>75</v>
      </c>
      <c r="K79" s="8" t="n">
        <v>80</v>
      </c>
      <c r="L79" s="8" t="n">
        <v>76.5</v>
      </c>
      <c r="M79" s="6" t="inlineStr">
        <is>
          <t>Hire</t>
        </is>
      </c>
      <c r="N79" s="9" t="inlineStr">
        <is>
          <t>AI Specialist with 7.0 YOE; demonstrates 7.0 years relevant experience, with high semantic alignment to AI Engineering.</t>
        </is>
      </c>
      <c r="O79" s="6" t="inlineStr">
        <is>
          <t>Parsed Successfully</t>
        </is>
      </c>
    </row>
    <row r="80">
      <c r="A80" s="2" t="n">
        <v>79</v>
      </c>
      <c r="B80" s="2" t="inlineStr">
        <is>
          <t>CAND_0060835</t>
        </is>
      </c>
      <c r="C80" s="3" t="inlineStr">
        <is>
          <t>Siya Agarwal</t>
        </is>
      </c>
      <c r="D80" s="2" t="inlineStr">
        <is>
          <t>c1bccf04-709d-4e7a-a1e9-ed5669ac077f</t>
        </is>
      </c>
      <c r="E80" s="4" t="n">
        <v>78.34</v>
      </c>
      <c r="F80" s="4" t="n">
        <v>100</v>
      </c>
      <c r="G80" s="4" t="n">
        <v>8.890000000000001</v>
      </c>
      <c r="H80" s="4" t="n">
        <v>100</v>
      </c>
      <c r="I80" s="4" t="n">
        <v>100</v>
      </c>
      <c r="J80" s="4" t="n">
        <v>80</v>
      </c>
      <c r="K80" s="4" t="n">
        <v>90</v>
      </c>
      <c r="L80" s="4" t="n">
        <v>61.2</v>
      </c>
      <c r="M80" s="2" t="inlineStr">
        <is>
          <t>Hire</t>
        </is>
      </c>
      <c r="N80" s="5" t="inlineStr">
        <is>
          <t>Senior Software Engineer (ML) with 6.6 YOE; demonstrates 6.6 years relevant experience, with high semantic alignment to AI Engineering (Note: 90 days notice).</t>
        </is>
      </c>
      <c r="O80" s="2" t="inlineStr">
        <is>
          <t>Parsed Successfully</t>
        </is>
      </c>
    </row>
    <row r="81">
      <c r="A81" s="6" t="n">
        <v>80</v>
      </c>
      <c r="B81" s="6" t="inlineStr">
        <is>
          <t>CAND_0066376</t>
        </is>
      </c>
      <c r="C81" s="7" t="inlineStr">
        <is>
          <t>Amit Goyal</t>
        </is>
      </c>
      <c r="D81" s="6" t="inlineStr">
        <is>
          <t>c1bccf04-709d-4e7a-a1e9-ed5669ac077f</t>
        </is>
      </c>
      <c r="E81" s="8" t="n">
        <v>78.34</v>
      </c>
      <c r="F81" s="8" t="n">
        <v>100</v>
      </c>
      <c r="G81" s="8" t="n">
        <v>12.89</v>
      </c>
      <c r="H81" s="8" t="n">
        <v>100</v>
      </c>
      <c r="I81" s="8" t="n">
        <v>100</v>
      </c>
      <c r="J81" s="8" t="n">
        <v>80</v>
      </c>
      <c r="K81" s="8" t="n">
        <v>74</v>
      </c>
      <c r="L81" s="8" t="n">
        <v>61.2</v>
      </c>
      <c r="M81" s="6" t="inlineStr">
        <is>
          <t>Hire</t>
        </is>
      </c>
      <c r="N81" s="9" t="inlineStr">
        <is>
          <t>Applied ML Engineer with 5.7 YOE; demonstrates 5.7 years relevant experience, with high semantic alignment to AI Engineering (Note: 90 days notice).</t>
        </is>
      </c>
      <c r="O81" s="6" t="inlineStr">
        <is>
          <t>Parsed Successfully</t>
        </is>
      </c>
    </row>
    <row r="82">
      <c r="A82" s="2" t="n">
        <v>81</v>
      </c>
      <c r="B82" s="2" t="inlineStr">
        <is>
          <t>CAND_0066999</t>
        </is>
      </c>
      <c r="C82" s="3" t="inlineStr">
        <is>
          <t>Riya Dalal</t>
        </is>
      </c>
      <c r="D82" s="2" t="inlineStr">
        <is>
          <t>c1bccf04-709d-4e7a-a1e9-ed5669ac077f</t>
        </is>
      </c>
      <c r="E82" s="4" t="n">
        <v>78.3</v>
      </c>
      <c r="F82" s="4" t="n">
        <v>100</v>
      </c>
      <c r="G82" s="4" t="n">
        <v>8.890000000000001</v>
      </c>
      <c r="H82" s="4" t="n">
        <v>100</v>
      </c>
      <c r="I82" s="4" t="n">
        <v>100</v>
      </c>
      <c r="J82" s="4" t="n">
        <v>80</v>
      </c>
      <c r="K82" s="4" t="n">
        <v>74</v>
      </c>
      <c r="L82" s="4" t="n">
        <v>76.5</v>
      </c>
      <c r="M82" s="2" t="inlineStr">
        <is>
          <t>Hire</t>
        </is>
      </c>
      <c r="N82" s="5" t="inlineStr">
        <is>
          <t>Recommendation Systems Engineer with 5.9 YOE; demonstrates 5.9 years relevant experience, with high semantic alignment to AI Engineering.</t>
        </is>
      </c>
      <c r="O82" s="2" t="inlineStr">
        <is>
          <t>Parsed Successfully</t>
        </is>
      </c>
    </row>
    <row r="83">
      <c r="A83" s="6" t="n">
        <v>82</v>
      </c>
      <c r="B83" s="6" t="inlineStr">
        <is>
          <t>CAND_0005649</t>
        </is>
      </c>
      <c r="C83" s="7" t="inlineStr">
        <is>
          <t>Riya Kapoor</t>
        </is>
      </c>
      <c r="D83" s="6" t="inlineStr">
        <is>
          <t>c1bccf04-709d-4e7a-a1e9-ed5669ac077f</t>
        </is>
      </c>
      <c r="E83" s="8" t="n">
        <v>78.23999999999999</v>
      </c>
      <c r="F83" s="8" t="n">
        <v>100</v>
      </c>
      <c r="G83" s="8" t="n">
        <v>12.89</v>
      </c>
      <c r="H83" s="8" t="n">
        <v>100</v>
      </c>
      <c r="I83" s="8" t="n">
        <v>100</v>
      </c>
      <c r="J83" s="8" t="n">
        <v>80</v>
      </c>
      <c r="K83" s="8" t="n">
        <v>72</v>
      </c>
      <c r="L83" s="8" t="n">
        <v>61.2</v>
      </c>
      <c r="M83" s="6" t="inlineStr">
        <is>
          <t>Hire</t>
        </is>
      </c>
      <c r="N83" s="9" t="inlineStr">
        <is>
          <t>Senior Data Scientist with 7.4 YOE; demonstrates 7.4 years relevant experience, with high semantic alignment to AI Engineering (Note: 90 days notice).</t>
        </is>
      </c>
      <c r="O83" s="6" t="inlineStr">
        <is>
          <t>Parsed Successfully</t>
        </is>
      </c>
    </row>
    <row r="84">
      <c r="A84" s="2" t="n">
        <v>83</v>
      </c>
      <c r="B84" s="2" t="inlineStr">
        <is>
          <t>CAND_0060054</t>
        </is>
      </c>
      <c r="C84" s="3" t="inlineStr">
        <is>
          <t>Aisha Kapoor</t>
        </is>
      </c>
      <c r="D84" s="2" t="inlineStr">
        <is>
          <t>c1bccf04-709d-4e7a-a1e9-ed5669ac077f</t>
        </is>
      </c>
      <c r="E84" s="4" t="n">
        <v>78.23</v>
      </c>
      <c r="F84" s="4" t="n">
        <v>100</v>
      </c>
      <c r="G84" s="4" t="n">
        <v>8.890000000000001</v>
      </c>
      <c r="H84" s="4" t="n">
        <v>100</v>
      </c>
      <c r="I84" s="4" t="n">
        <v>100</v>
      </c>
      <c r="J84" s="4" t="n">
        <v>80</v>
      </c>
      <c r="K84" s="4" t="n">
        <v>74</v>
      </c>
      <c r="L84" s="4" t="n">
        <v>75</v>
      </c>
      <c r="M84" s="2" t="inlineStr">
        <is>
          <t>Hire</t>
        </is>
      </c>
      <c r="N84" s="5" t="inlineStr">
        <is>
          <t>AI Engineer with 6.4 YOE; demonstrates 6.4 years relevant experience, with high semantic alignment to AI Engineering.</t>
        </is>
      </c>
      <c r="O84" s="2" t="inlineStr">
        <is>
          <t>Parsed Successfully</t>
        </is>
      </c>
    </row>
    <row r="85">
      <c r="A85" s="6" t="n">
        <v>84</v>
      </c>
      <c r="B85" s="6" t="inlineStr">
        <is>
          <t>CAND_0038368</t>
        </is>
      </c>
      <c r="C85" s="7" t="inlineStr">
        <is>
          <t>Suresh Reddy</t>
        </is>
      </c>
      <c r="D85" s="6" t="inlineStr">
        <is>
          <t>c1bccf04-709d-4e7a-a1e9-ed5669ac077f</t>
        </is>
      </c>
      <c r="E85" s="8" t="n">
        <v>78.22</v>
      </c>
      <c r="F85" s="8" t="n">
        <v>100</v>
      </c>
      <c r="G85" s="8" t="n">
        <v>12.89</v>
      </c>
      <c r="H85" s="8" t="n">
        <v>100</v>
      </c>
      <c r="I85" s="8" t="n">
        <v>100</v>
      </c>
      <c r="J85" s="8" t="n">
        <v>75</v>
      </c>
      <c r="K85" s="8" t="n">
        <v>74</v>
      </c>
      <c r="L85" s="8" t="n">
        <v>63.75</v>
      </c>
      <c r="M85" s="6" t="inlineStr">
        <is>
          <t>Hire</t>
        </is>
      </c>
      <c r="N85" s="9" t="inlineStr">
        <is>
          <t>ML Engineer with 5.4 YOE; demonstrates 5.4 years relevant experience, with high semantic alignment to AI Engineering.</t>
        </is>
      </c>
      <c r="O85" s="6" t="inlineStr">
        <is>
          <t>Parsed Successfully</t>
        </is>
      </c>
    </row>
    <row r="86">
      <c r="A86" s="2" t="n">
        <v>85</v>
      </c>
      <c r="B86" s="2" t="inlineStr">
        <is>
          <t>CAND_0093912</t>
        </is>
      </c>
      <c r="C86" s="3" t="inlineStr">
        <is>
          <t>Advik Sethi</t>
        </is>
      </c>
      <c r="D86" s="2" t="inlineStr">
        <is>
          <t>c1bccf04-709d-4e7a-a1e9-ed5669ac077f</t>
        </is>
      </c>
      <c r="E86" s="4" t="n">
        <v>78.2</v>
      </c>
      <c r="F86" s="4" t="n">
        <v>100</v>
      </c>
      <c r="G86" s="4" t="n">
        <v>8.890000000000001</v>
      </c>
      <c r="H86" s="4" t="n">
        <v>100</v>
      </c>
      <c r="I86" s="4" t="n">
        <v>100</v>
      </c>
      <c r="J86" s="4" t="n">
        <v>80</v>
      </c>
      <c r="K86" s="4" t="n">
        <v>72</v>
      </c>
      <c r="L86" s="4" t="n">
        <v>76.5</v>
      </c>
      <c r="M86" s="2" t="inlineStr">
        <is>
          <t>Hire</t>
        </is>
      </c>
      <c r="N86" s="5" t="inlineStr">
        <is>
          <t>Senior Data Scientist with 5.3 YOE; demonstrates 5.3 years relevant experience, with high semantic alignment to AI Engineering.</t>
        </is>
      </c>
      <c r="O86" s="2" t="inlineStr">
        <is>
          <t>Parsed Successfully</t>
        </is>
      </c>
    </row>
    <row r="87">
      <c r="A87" s="6" t="n">
        <v>86</v>
      </c>
      <c r="B87" s="6" t="inlineStr">
        <is>
          <t>CAND_0001218</t>
        </is>
      </c>
      <c r="C87" s="7" t="inlineStr">
        <is>
          <t>Sunil Mittal</t>
        </is>
      </c>
      <c r="D87" s="6" t="inlineStr">
        <is>
          <t>c1bccf04-709d-4e7a-a1e9-ed5669ac077f</t>
        </is>
      </c>
      <c r="E87" s="8" t="n">
        <v>78.18000000000001</v>
      </c>
      <c r="F87" s="8" t="n">
        <v>100</v>
      </c>
      <c r="G87" s="8" t="n">
        <v>12.89</v>
      </c>
      <c r="H87" s="8" t="n">
        <v>100</v>
      </c>
      <c r="I87" s="8" t="n">
        <v>100</v>
      </c>
      <c r="J87" s="8" t="n">
        <v>80</v>
      </c>
      <c r="K87" s="8" t="n">
        <v>72</v>
      </c>
      <c r="L87" s="8" t="n">
        <v>60</v>
      </c>
      <c r="M87" s="6" t="inlineStr">
        <is>
          <t>Hire</t>
        </is>
      </c>
      <c r="N87" s="9" t="inlineStr">
        <is>
          <t>AI Specialist with 6.4 YOE; demonstrates 6.4 years relevant experience, with high semantic alignment to AI Engineering (Note: 90 days notice).</t>
        </is>
      </c>
      <c r="O87" s="6" t="inlineStr">
        <is>
          <t>Parsed Successfully</t>
        </is>
      </c>
    </row>
    <row r="88">
      <c r="A88" s="2" t="n">
        <v>87</v>
      </c>
      <c r="B88" s="2" t="inlineStr">
        <is>
          <t>CAND_0037566</t>
        </is>
      </c>
      <c r="C88" s="3" t="inlineStr">
        <is>
          <t>Ritu Nair</t>
        </is>
      </c>
      <c r="D88" s="2" t="inlineStr">
        <is>
          <t>c1bccf04-709d-4e7a-a1e9-ed5669ac077f</t>
        </is>
      </c>
      <c r="E88" s="4" t="n">
        <v>78.17</v>
      </c>
      <c r="F88" s="4" t="n">
        <v>100</v>
      </c>
      <c r="G88" s="4" t="n">
        <v>8</v>
      </c>
      <c r="H88" s="4" t="n">
        <v>100</v>
      </c>
      <c r="I88" s="4" t="n">
        <v>100</v>
      </c>
      <c r="J88" s="4" t="n">
        <v>75</v>
      </c>
      <c r="K88" s="4" t="n">
        <v>80</v>
      </c>
      <c r="L88" s="4" t="n">
        <v>76.5</v>
      </c>
      <c r="M88" s="2" t="inlineStr">
        <is>
          <t>Hire</t>
        </is>
      </c>
      <c r="N88" s="5" t="inlineStr">
        <is>
          <t>Machine Learning Engineer with 6.9 YOE; demonstrates 6.9 years relevant experience, with high semantic alignment to AI Engineering.</t>
        </is>
      </c>
      <c r="O88" s="2" t="inlineStr">
        <is>
          <t>Parsed Successfully</t>
        </is>
      </c>
    </row>
    <row r="89">
      <c r="A89" s="6" t="n">
        <v>88</v>
      </c>
      <c r="B89" s="6" t="inlineStr">
        <is>
          <t>CAND_0032515</t>
        </is>
      </c>
      <c r="C89" s="7" t="inlineStr">
        <is>
          <t>Anjali Sen</t>
        </is>
      </c>
      <c r="D89" s="6" t="inlineStr">
        <is>
          <t>c1bccf04-709d-4e7a-a1e9-ed5669ac077f</t>
        </is>
      </c>
      <c r="E89" s="8" t="n">
        <v>78.12</v>
      </c>
      <c r="F89" s="8" t="n">
        <v>100</v>
      </c>
      <c r="G89" s="8" t="n">
        <v>12.89</v>
      </c>
      <c r="H89" s="8" t="n">
        <v>100</v>
      </c>
      <c r="I89" s="8" t="n">
        <v>100</v>
      </c>
      <c r="J89" s="8" t="n">
        <v>80</v>
      </c>
      <c r="K89" s="8" t="n">
        <v>62</v>
      </c>
      <c r="L89" s="8" t="n">
        <v>68.84999999999999</v>
      </c>
      <c r="M89" s="6" t="inlineStr">
        <is>
          <t>Hire</t>
        </is>
      </c>
      <c r="N89" s="9" t="inlineStr">
        <is>
          <t>Machine Learning Engineer with 5.1 YOE; demonstrates 5.1 years relevant experience, with high semantic alignment to AI Engineering.</t>
        </is>
      </c>
      <c r="O89" s="6" t="inlineStr">
        <is>
          <t>Parsed Successfully</t>
        </is>
      </c>
    </row>
    <row r="90">
      <c r="A90" s="2" t="n">
        <v>89</v>
      </c>
      <c r="B90" s="2" t="inlineStr">
        <is>
          <t>CAND_0051630</t>
        </is>
      </c>
      <c r="C90" s="3" t="inlineStr">
        <is>
          <t>Kavya Naidu</t>
        </is>
      </c>
      <c r="D90" s="2" t="inlineStr">
        <is>
          <t>c1bccf04-709d-4e7a-a1e9-ed5669ac077f</t>
        </is>
      </c>
      <c r="E90" s="4" t="n">
        <v>78.12</v>
      </c>
      <c r="F90" s="4" t="n">
        <v>100</v>
      </c>
      <c r="G90" s="4" t="n">
        <v>21.78</v>
      </c>
      <c r="H90" s="4" t="n">
        <v>100</v>
      </c>
      <c r="I90" s="4" t="n">
        <v>80</v>
      </c>
      <c r="J90" s="4" t="n">
        <v>80</v>
      </c>
      <c r="K90" s="4" t="n">
        <v>74</v>
      </c>
      <c r="L90" s="4" t="n">
        <v>61.2</v>
      </c>
      <c r="M90" s="2" t="inlineStr">
        <is>
          <t>Hire</t>
        </is>
      </c>
      <c r="N90" s="5" t="inlineStr">
        <is>
          <t>Machine Learning Engineer with 6.0 YOE; demonstrates 6.0 years relevant experience, with high semantic alignment to AI Engineering (Note: 90 days notice).</t>
        </is>
      </c>
      <c r="O90" s="2" t="inlineStr">
        <is>
          <t>Parsed Successfully</t>
        </is>
      </c>
    </row>
    <row r="91">
      <c r="A91" s="6" t="n">
        <v>90</v>
      </c>
      <c r="B91" s="6" t="inlineStr">
        <is>
          <t>CAND_0004972</t>
        </is>
      </c>
      <c r="C91" s="7" t="inlineStr">
        <is>
          <t>Anika Desai</t>
        </is>
      </c>
      <c r="D91" s="6" t="inlineStr">
        <is>
          <t>c1bccf04-709d-4e7a-a1e9-ed5669ac077f</t>
        </is>
      </c>
      <c r="E91" s="8" t="n">
        <v>78.08</v>
      </c>
      <c r="F91" s="8" t="n">
        <v>100</v>
      </c>
      <c r="G91" s="8" t="n">
        <v>8.890000000000001</v>
      </c>
      <c r="H91" s="8" t="n">
        <v>100</v>
      </c>
      <c r="I91" s="8" t="n">
        <v>100</v>
      </c>
      <c r="J91" s="8" t="n">
        <v>80</v>
      </c>
      <c r="K91" s="8" t="n">
        <v>74</v>
      </c>
      <c r="L91" s="8" t="n">
        <v>72</v>
      </c>
      <c r="M91" s="6" t="inlineStr">
        <is>
          <t>Hire</t>
        </is>
      </c>
      <c r="N91" s="9" t="inlineStr">
        <is>
          <t>ML Engineer with 6.0 YOE; demonstrates 6.0 years relevant experience, with high semantic alignment to AI Engineering (Note: 90 days notice).</t>
        </is>
      </c>
      <c r="O91" s="6" t="inlineStr">
        <is>
          <t>Parsed Successfully</t>
        </is>
      </c>
    </row>
    <row r="92">
      <c r="A92" s="2" t="n">
        <v>91</v>
      </c>
      <c r="B92" s="2" t="inlineStr">
        <is>
          <t>CAND_0018722</t>
        </is>
      </c>
      <c r="C92" s="3" t="inlineStr">
        <is>
          <t>Pranav Trivedi</t>
        </is>
      </c>
      <c r="D92" s="2" t="inlineStr">
        <is>
          <t>c1bccf04-709d-4e7a-a1e9-ed5669ac077f</t>
        </is>
      </c>
      <c r="E92" s="4" t="n">
        <v>78.08</v>
      </c>
      <c r="F92" s="4" t="n">
        <v>100</v>
      </c>
      <c r="G92" s="4" t="n">
        <v>8.890000000000001</v>
      </c>
      <c r="H92" s="4" t="n">
        <v>100</v>
      </c>
      <c r="I92" s="4" t="n">
        <v>100</v>
      </c>
      <c r="J92" s="4" t="n">
        <v>80</v>
      </c>
      <c r="K92" s="4" t="n">
        <v>74</v>
      </c>
      <c r="L92" s="4" t="n">
        <v>72</v>
      </c>
      <c r="M92" s="2" t="inlineStr">
        <is>
          <t>Hire</t>
        </is>
      </c>
      <c r="N92" s="5" t="inlineStr">
        <is>
          <t>Recommendation Systems Engineer with 6.6 YOE; demonstrates 6.6 years relevant experience, with high semantic alignment to AI Engineering (Note: 90 days notice).</t>
        </is>
      </c>
      <c r="O92" s="2" t="inlineStr">
        <is>
          <t>Parsed Successfully</t>
        </is>
      </c>
    </row>
    <row r="93">
      <c r="A93" s="6" t="n">
        <v>92</v>
      </c>
      <c r="B93" s="6" t="inlineStr">
        <is>
          <t>CAND_0045250</t>
        </is>
      </c>
      <c r="C93" s="7" t="inlineStr">
        <is>
          <t>Priya Pandey</t>
        </is>
      </c>
      <c r="D93" s="6" t="inlineStr">
        <is>
          <t>c1bccf04-709d-4e7a-a1e9-ed5669ac077f</t>
        </is>
      </c>
      <c r="E93" s="8" t="n">
        <v>78.08</v>
      </c>
      <c r="F93" s="8" t="n">
        <v>100</v>
      </c>
      <c r="G93" s="8" t="n">
        <v>12.89</v>
      </c>
      <c r="H93" s="8" t="n">
        <v>100</v>
      </c>
      <c r="I93" s="8" t="n">
        <v>80</v>
      </c>
      <c r="J93" s="8" t="n">
        <v>80</v>
      </c>
      <c r="K93" s="8" t="n">
        <v>80</v>
      </c>
      <c r="L93" s="8" t="n">
        <v>90</v>
      </c>
      <c r="M93" s="6" t="inlineStr">
        <is>
          <t>Hire</t>
        </is>
      </c>
      <c r="N93" s="9" t="inlineStr">
        <is>
          <t>Applied ML Engineer with 6.6 YOE; demonstrates 6.6 years relevant experience, with high semantic alignment to AI Engineering.</t>
        </is>
      </c>
      <c r="O93" s="6" t="inlineStr">
        <is>
          <t>Parsed Successfully</t>
        </is>
      </c>
    </row>
    <row r="94">
      <c r="A94" s="2" t="n">
        <v>93</v>
      </c>
      <c r="B94" s="2" t="inlineStr">
        <is>
          <t>CAND_0057736</t>
        </is>
      </c>
      <c r="C94" s="3" t="inlineStr">
        <is>
          <t>Deepak Dutta</t>
        </is>
      </c>
      <c r="D94" s="2" t="inlineStr">
        <is>
          <t>c1bccf04-709d-4e7a-a1e9-ed5669ac077f</t>
        </is>
      </c>
      <c r="E94" s="4" t="n">
        <v>78.08</v>
      </c>
      <c r="F94" s="4" t="n">
        <v>100</v>
      </c>
      <c r="G94" s="4" t="n">
        <v>8.890000000000001</v>
      </c>
      <c r="H94" s="4" t="n">
        <v>100</v>
      </c>
      <c r="I94" s="4" t="n">
        <v>100</v>
      </c>
      <c r="J94" s="4" t="n">
        <v>80</v>
      </c>
      <c r="K94" s="4" t="n">
        <v>74</v>
      </c>
      <c r="L94" s="4" t="n">
        <v>72</v>
      </c>
      <c r="M94" s="2" t="inlineStr">
        <is>
          <t>Hire</t>
        </is>
      </c>
      <c r="N94" s="5" t="inlineStr">
        <is>
          <t>Computer Vision Engineer with 6.2 YOE; demonstrates 6.2 years relevant experience, with high semantic alignment to AI Engineering (Note: 90 days notice).</t>
        </is>
      </c>
      <c r="O94" s="2" t="inlineStr">
        <is>
          <t>Parsed Successfully</t>
        </is>
      </c>
    </row>
    <row r="95">
      <c r="A95" s="6" t="n">
        <v>94</v>
      </c>
      <c r="B95" s="6" t="inlineStr">
        <is>
          <t>CAND_0076587</t>
        </is>
      </c>
      <c r="C95" s="7" t="inlineStr">
        <is>
          <t>Pranav Iyer</t>
        </is>
      </c>
      <c r="D95" s="6" t="inlineStr">
        <is>
          <t>c1bccf04-709d-4e7a-a1e9-ed5669ac077f</t>
        </is>
      </c>
      <c r="E95" s="8" t="n">
        <v>78.08</v>
      </c>
      <c r="F95" s="8" t="n">
        <v>100</v>
      </c>
      <c r="G95" s="8" t="n">
        <v>8.890000000000001</v>
      </c>
      <c r="H95" s="8" t="n">
        <v>98.5</v>
      </c>
      <c r="I95" s="8" t="n">
        <v>100</v>
      </c>
      <c r="J95" s="8" t="n">
        <v>80</v>
      </c>
      <c r="K95" s="8" t="n">
        <v>74</v>
      </c>
      <c r="L95" s="8" t="n">
        <v>76.5</v>
      </c>
      <c r="M95" s="6" t="inlineStr">
        <is>
          <t>Hire</t>
        </is>
      </c>
      <c r="N95" s="9" t="inlineStr">
        <is>
          <t>AI Specialist with 4.9 YOE; demonstrates 4.9 years relevant experience, with high semantic alignment to AI Engineering.</t>
        </is>
      </c>
      <c r="O95" s="6" t="inlineStr">
        <is>
          <t>Parsed Successfully</t>
        </is>
      </c>
    </row>
    <row r="96">
      <c r="A96" s="2" t="n">
        <v>95</v>
      </c>
      <c r="B96" s="2" t="inlineStr">
        <is>
          <t>CAND_0008239</t>
        </is>
      </c>
      <c r="C96" s="3" t="inlineStr">
        <is>
          <t>Advik Iyer</t>
        </is>
      </c>
      <c r="D96" s="2" t="inlineStr">
        <is>
          <t>c1bccf04-709d-4e7a-a1e9-ed5669ac077f</t>
        </is>
      </c>
      <c r="E96" s="4" t="n">
        <v>78.06</v>
      </c>
      <c r="F96" s="4" t="n">
        <v>100</v>
      </c>
      <c r="G96" s="4" t="n">
        <v>17.78</v>
      </c>
      <c r="H96" s="4" t="n">
        <v>85</v>
      </c>
      <c r="I96" s="4" t="n">
        <v>100</v>
      </c>
      <c r="J96" s="4" t="n">
        <v>80</v>
      </c>
      <c r="K96" s="4" t="n">
        <v>80</v>
      </c>
      <c r="L96" s="4" t="n">
        <v>75</v>
      </c>
      <c r="M96" s="2" t="inlineStr">
        <is>
          <t>Hire</t>
        </is>
      </c>
      <c r="N96" s="5" t="inlineStr">
        <is>
          <t>AI Engineer with 4.0 YOE; demonstrates high semantic alignment to AI Engineering.</t>
        </is>
      </c>
      <c r="O96" s="2" t="inlineStr">
        <is>
          <t>Parsed Successfully</t>
        </is>
      </c>
    </row>
    <row r="97">
      <c r="A97" s="6" t="n">
        <v>96</v>
      </c>
      <c r="B97" s="6" t="inlineStr">
        <is>
          <t>CAND_0044883</t>
        </is>
      </c>
      <c r="C97" s="7" t="inlineStr">
        <is>
          <t>Rajesh Reddy</t>
        </is>
      </c>
      <c r="D97" s="6" t="inlineStr">
        <is>
          <t>c1bccf04-709d-4e7a-a1e9-ed5669ac077f</t>
        </is>
      </c>
      <c r="E97" s="8" t="n">
        <v>78.06</v>
      </c>
      <c r="F97" s="8" t="n">
        <v>100</v>
      </c>
      <c r="G97" s="8" t="n">
        <v>21.78</v>
      </c>
      <c r="H97" s="8" t="n">
        <v>100</v>
      </c>
      <c r="I97" s="8" t="n">
        <v>80</v>
      </c>
      <c r="J97" s="8" t="n">
        <v>80</v>
      </c>
      <c r="K97" s="8" t="n">
        <v>62</v>
      </c>
      <c r="L97" s="8" t="n">
        <v>72</v>
      </c>
      <c r="M97" s="6" t="inlineStr">
        <is>
          <t>Hire</t>
        </is>
      </c>
      <c r="N97" s="9" t="inlineStr">
        <is>
          <t>AI Engineer with 6.3 YOE; demonstrates 6.3 years relevant experience, with high semantic alignment to AI Engineering (Note: 90 days notice).</t>
        </is>
      </c>
      <c r="O97" s="6" t="inlineStr">
        <is>
          <t>Parsed Successfully</t>
        </is>
      </c>
    </row>
    <row r="98">
      <c r="A98" s="2" t="n">
        <v>97</v>
      </c>
      <c r="B98" s="2" t="inlineStr">
        <is>
          <t>CAND_0011707</t>
        </is>
      </c>
      <c r="C98" s="3" t="inlineStr">
        <is>
          <t>Suresh Bhatia</t>
        </is>
      </c>
      <c r="D98" s="2" t="inlineStr">
        <is>
          <t>c1bccf04-709d-4e7a-a1e9-ed5669ac077f</t>
        </is>
      </c>
      <c r="E98" s="4" t="n">
        <v>78.02</v>
      </c>
      <c r="F98" s="4" t="n">
        <v>100</v>
      </c>
      <c r="G98" s="4" t="n">
        <v>12.89</v>
      </c>
      <c r="H98" s="4" t="n">
        <v>97</v>
      </c>
      <c r="I98" s="4" t="n">
        <v>100</v>
      </c>
      <c r="J98" s="4" t="n">
        <v>75</v>
      </c>
      <c r="K98" s="4" t="n">
        <v>74</v>
      </c>
      <c r="L98" s="4" t="n">
        <v>68.84999999999999</v>
      </c>
      <c r="M98" s="2" t="inlineStr">
        <is>
          <t>Hire</t>
        </is>
      </c>
      <c r="N98" s="5" t="inlineStr">
        <is>
          <t>Data Scientist with 4.8 YOE; demonstrates 4.8 years relevant experience, with high semantic alignment to AI Engineering.</t>
        </is>
      </c>
      <c r="O98" s="2" t="inlineStr">
        <is>
          <t>Parsed Successfully</t>
        </is>
      </c>
    </row>
    <row r="99">
      <c r="A99" s="6" t="n">
        <v>98</v>
      </c>
      <c r="B99" s="6" t="inlineStr">
        <is>
          <t>CAND_0030348</t>
        </is>
      </c>
      <c r="C99" s="7" t="inlineStr">
        <is>
          <t>Om Mishra</t>
        </is>
      </c>
      <c r="D99" s="6" t="inlineStr">
        <is>
          <t>c1bccf04-709d-4e7a-a1e9-ed5669ac077f</t>
        </is>
      </c>
      <c r="E99" s="8" t="n">
        <v>78</v>
      </c>
      <c r="F99" s="8" t="n">
        <v>100</v>
      </c>
      <c r="G99" s="8" t="n">
        <v>17.78</v>
      </c>
      <c r="H99" s="8" t="n">
        <v>92.5</v>
      </c>
      <c r="I99" s="8" t="n">
        <v>100</v>
      </c>
      <c r="J99" s="8" t="n">
        <v>80</v>
      </c>
      <c r="K99" s="8" t="n">
        <v>74</v>
      </c>
      <c r="L99" s="8" t="n">
        <v>57.38</v>
      </c>
      <c r="M99" s="6" t="inlineStr">
        <is>
          <t>Hire</t>
        </is>
      </c>
      <c r="N99" s="9" t="inlineStr">
        <is>
          <t>Machine Learning Engineer with 4.5 YOE; demonstrates 4.5 years relevant experience, with high semantic alignment to AI Engineering.</t>
        </is>
      </c>
      <c r="O99" s="6" t="inlineStr">
        <is>
          <t>Parsed Successfully</t>
        </is>
      </c>
    </row>
    <row r="100">
      <c r="A100" s="2" t="n">
        <v>99</v>
      </c>
      <c r="B100" s="2" t="inlineStr">
        <is>
          <t>CAND_0087630</t>
        </is>
      </c>
      <c r="C100" s="3" t="inlineStr">
        <is>
          <t>Aisha Rao</t>
        </is>
      </c>
      <c r="D100" s="2" t="inlineStr">
        <is>
          <t>c1bccf04-709d-4e7a-a1e9-ed5669ac077f</t>
        </is>
      </c>
      <c r="E100" s="4" t="n">
        <v>77.97</v>
      </c>
      <c r="F100" s="4" t="n">
        <v>100</v>
      </c>
      <c r="G100" s="4" t="n">
        <v>12.89</v>
      </c>
      <c r="H100" s="4" t="n">
        <v>100</v>
      </c>
      <c r="I100" s="4" t="n">
        <v>100</v>
      </c>
      <c r="J100" s="4" t="n">
        <v>70</v>
      </c>
      <c r="K100" s="4" t="n">
        <v>74</v>
      </c>
      <c r="L100" s="4" t="n">
        <v>63.75</v>
      </c>
      <c r="M100" s="2" t="inlineStr">
        <is>
          <t>Hire</t>
        </is>
      </c>
      <c r="N100" s="5" t="inlineStr">
        <is>
          <t>AI Engineer with 7.2 YOE; demonstrates 7.2 years relevant experience, with high semantic alignment to AI Engineering.</t>
        </is>
      </c>
      <c r="O100" s="2" t="inlineStr">
        <is>
          <t>Parsed Successfully</t>
        </is>
      </c>
    </row>
    <row r="101">
      <c r="A101" s="6" t="n">
        <v>100</v>
      </c>
      <c r="B101" s="6" t="inlineStr">
        <is>
          <t>CAND_0012957</t>
        </is>
      </c>
      <c r="C101" s="7" t="inlineStr">
        <is>
          <t>Ritu Menon</t>
        </is>
      </c>
      <c r="D101" s="6" t="inlineStr">
        <is>
          <t>c1bccf04-709d-4e7a-a1e9-ed5669ac077f</t>
        </is>
      </c>
      <c r="E101" s="8" t="n">
        <v>77.94</v>
      </c>
      <c r="F101" s="8" t="n">
        <v>100</v>
      </c>
      <c r="G101" s="8" t="n">
        <v>17.78</v>
      </c>
      <c r="H101" s="8" t="n">
        <v>98.5</v>
      </c>
      <c r="I101" s="8" t="n">
        <v>100</v>
      </c>
      <c r="J101" s="8" t="n">
        <v>80</v>
      </c>
      <c r="K101" s="8" t="n">
        <v>74</v>
      </c>
      <c r="L101" s="8" t="n">
        <v>38.25</v>
      </c>
      <c r="M101" s="6" t="inlineStr">
        <is>
          <t>Hire</t>
        </is>
      </c>
      <c r="N101" s="9" t="inlineStr">
        <is>
          <t>Search Engineer with 4.9 YOE; demonstrates 4.9 years relevant experience, with high semantic alignment to AI Engineering (Note: 120 days notice).</t>
        </is>
      </c>
      <c r="O101" s="6" t="inlineStr">
        <is>
          <t>Parsed Successfully</t>
        </is>
      </c>
    </row>
  </sheetData>
  <autoFilter ref="A1:O101"/>
  <conditionalFormatting sqref="E2:E101">
    <cfRule type="cellIs" priority="1" operator="greaterThanOrEqual" dxfId="0">
      <formula>80</formula>
    </cfRule>
    <cfRule type="cellIs" priority="2" operator="between" dxfId="1">
      <formula>60</formula>
      <formula>79.99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10" t="inlineStr">
        <is>
          <t>Candidate Pipeline Analytics</t>
        </is>
      </c>
    </row>
    <row r="2">
      <c r="A2" s="11" t="inlineStr">
        <is>
          <t>Overall scoring and suitability distribution overview</t>
        </is>
      </c>
    </row>
    <row r="4">
      <c r="A4" s="1" t="inlineStr">
        <is>
          <t>Metric / KPI</t>
        </is>
      </c>
      <c r="B4" s="1" t="inlineStr">
        <is>
          <t>Value</t>
        </is>
      </c>
    </row>
    <row r="5">
      <c r="A5" s="12" t="inlineStr">
        <is>
          <t>Total Screened Candidates</t>
        </is>
      </c>
      <c r="B5" s="13" t="n">
        <v>100000</v>
      </c>
    </row>
    <row r="6">
      <c r="A6" s="3" t="inlineStr">
        <is>
          <t>Average Match Score</t>
        </is>
      </c>
      <c r="B6" s="14">
        <f>AVERAGE('Recommended Candidates'!E2:E101)</f>
        <v/>
      </c>
    </row>
    <row r="7">
      <c r="A7" s="7" t="inlineStr">
        <is>
          <t>Highest Score</t>
        </is>
      </c>
      <c r="B7" s="15">
        <f>MAX('Recommended Candidates'!E2:E101)</f>
        <v/>
      </c>
    </row>
    <row r="8">
      <c r="A8" s="3" t="inlineStr">
        <is>
          <t>Lowest Score</t>
        </is>
      </c>
      <c r="B8" s="14">
        <f>MIN('Recommended Candidates'!E2:E101)</f>
        <v/>
      </c>
    </row>
    <row r="9">
      <c r="A9" s="7" t="inlineStr">
        <is>
          <t>Strong Hire candidates</t>
        </is>
      </c>
      <c r="B9" s="15">
        <f>COUNTIF('Recommended Candidates'!M2:M101, "Strong Hire")</f>
        <v/>
      </c>
    </row>
    <row r="10">
      <c r="A10" s="3" t="inlineStr">
        <is>
          <t>Hire candidates</t>
        </is>
      </c>
      <c r="B10" s="14">
        <f>COUNTIF('Recommended Candidates'!M2:M101, "Hire")</f>
        <v/>
      </c>
    </row>
    <row r="11">
      <c r="A11" s="7" t="inlineStr">
        <is>
          <t>Consider candidates</t>
        </is>
      </c>
      <c r="B11" s="15">
        <f>COUNTIF('Recommended Candidates'!M2:M101, "Consider")</f>
        <v/>
      </c>
    </row>
    <row r="12">
      <c r="A12" s="3" t="inlineStr">
        <is>
          <t>Reject candidates</t>
        </is>
      </c>
      <c r="B12" s="14">
        <f>COUNTIF('Recommended Candidates'!M2:M101, "Reject")</f>
        <v/>
      </c>
    </row>
    <row r="15">
      <c r="A15" s="16" t="inlineStr">
        <is>
          <t>Score Distribution Band Table</t>
        </is>
      </c>
    </row>
    <row r="16">
      <c r="A16" s="1" t="inlineStr">
        <is>
          <t>Score Band</t>
        </is>
      </c>
      <c r="B16" s="1" t="inlineStr">
        <is>
          <t>Candidate Count</t>
        </is>
      </c>
    </row>
    <row r="17">
      <c r="A17" s="6" t="inlineStr">
        <is>
          <t>50-60</t>
        </is>
      </c>
      <c r="B17" s="15">
        <f>COUNTIFS('Recommended Candidates'!E$2:E$101, "&gt;=50", 'Recommended Candidates'!E$2:E$101, "&lt;60")</f>
        <v/>
      </c>
    </row>
    <row r="18">
      <c r="A18" s="2" t="inlineStr">
        <is>
          <t>60-70</t>
        </is>
      </c>
      <c r="B18" s="14">
        <f>COUNTIFS('Recommended Candidates'!E$2:E$101, "&gt;=60", 'Recommended Candidates'!E$2:E$101, "&lt;70")</f>
        <v/>
      </c>
    </row>
    <row r="19">
      <c r="A19" s="6" t="inlineStr">
        <is>
          <t>70-80</t>
        </is>
      </c>
      <c r="B19" s="15">
        <f>COUNTIFS('Recommended Candidates'!E$2:E$101, "&gt;=70", 'Recommended Candidates'!E$2:E$101, "&lt;80")</f>
        <v/>
      </c>
    </row>
    <row r="20">
      <c r="A20" s="2" t="inlineStr">
        <is>
          <t>80-90</t>
        </is>
      </c>
      <c r="B20" s="14">
        <f>COUNTIFS('Recommended Candidates'!E$2:E$101, "&gt;=80", 'Recommended Candidates'!E$2:E$101, "&lt;90")</f>
        <v/>
      </c>
    </row>
    <row r="21">
      <c r="A21" s="6" t="inlineStr">
        <is>
          <t>90-100</t>
        </is>
      </c>
      <c r="B21" s="15">
        <f>COUNTIFS('Recommended Candidates'!E$2:E$101, "&gt;=90", 'Recommended Candidates'!E$2:E$101, "&lt;=100")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" t="inlineStr">
        <is>
          <t>Executive Talent Intelligence Dashboard</t>
        </is>
      </c>
    </row>
    <row r="2">
      <c r="A2" s="11" t="inlineStr">
        <is>
          <t>Role matching summary &amp; screening metrics for Senior AI Engineer</t>
        </is>
      </c>
    </row>
    <row r="4">
      <c r="A4" s="17" t="inlineStr">
        <is>
          <t>TOTAL SCREENED POOL</t>
        </is>
      </c>
      <c r="B4" s="18" t="n"/>
      <c r="C4" s="17" t="inlineStr">
        <is>
          <t>SHORTLISTED CANDIDATES</t>
        </is>
      </c>
      <c r="D4" s="18" t="n"/>
      <c r="E4" s="17" t="inlineStr">
        <is>
          <t>AVERAGE MATCH SCORE</t>
        </is>
      </c>
      <c r="F4" s="18" t="n"/>
      <c r="G4" s="17" t="inlineStr">
        <is>
          <t>BEST CANDIDATE FIT</t>
        </is>
      </c>
      <c r="H4" s="18" t="n"/>
    </row>
    <row r="5">
      <c r="A5" s="19" t="n">
        <v>100000</v>
      </c>
      <c r="B5" s="18" t="n"/>
      <c r="C5" s="19">
        <f>COUNTA('Recommended Candidates'!B2:B101)</f>
        <v/>
      </c>
      <c r="D5" s="18" t="n"/>
      <c r="E5" s="20">
        <f>AVERAGE('Recommended Candidates'!E2:E101)</f>
        <v/>
      </c>
      <c r="F5" s="18" t="n"/>
      <c r="G5" s="21">
        <f>'Recommended Candidates'!C2</f>
        <v/>
      </c>
      <c r="H5" s="18" t="n"/>
    </row>
    <row r="7">
      <c r="A7" s="16" t="inlineStr">
        <is>
          <t>Top 5 Ranked Candidates</t>
        </is>
      </c>
    </row>
    <row r="8">
      <c r="A8" s="1" t="inlineStr">
        <is>
          <t>Rank</t>
        </is>
      </c>
      <c r="B8" s="1" t="inlineStr">
        <is>
          <t>Candidate Name</t>
        </is>
      </c>
      <c r="C8" s="1" t="inlineStr">
        <is>
          <t>Overall Score</t>
        </is>
      </c>
      <c r="D8" s="1" t="inlineStr">
        <is>
          <t>AI Recommendation</t>
        </is>
      </c>
    </row>
    <row r="9">
      <c r="A9" s="6">
        <f>'Recommended Candidates'!A2</f>
        <v/>
      </c>
      <c r="B9" s="7">
        <f>'Recommended Candidates'!C2</f>
        <v/>
      </c>
      <c r="C9" s="8">
        <f>'Recommended Candidates'!E2</f>
        <v/>
      </c>
      <c r="D9" s="6">
        <f>'Recommended Candidates'!M2</f>
        <v/>
      </c>
    </row>
    <row r="10">
      <c r="A10" s="2">
        <f>'Recommended Candidates'!A3</f>
        <v/>
      </c>
      <c r="B10" s="3">
        <f>'Recommended Candidates'!C3</f>
        <v/>
      </c>
      <c r="C10" s="4">
        <f>'Recommended Candidates'!E3</f>
        <v/>
      </c>
      <c r="D10" s="2">
        <f>'Recommended Candidates'!M3</f>
        <v/>
      </c>
    </row>
    <row r="11">
      <c r="A11" s="6">
        <f>'Recommended Candidates'!A4</f>
        <v/>
      </c>
      <c r="B11" s="7">
        <f>'Recommended Candidates'!C4</f>
        <v/>
      </c>
      <c r="C11" s="8">
        <f>'Recommended Candidates'!E4</f>
        <v/>
      </c>
      <c r="D11" s="6">
        <f>'Recommended Candidates'!M4</f>
        <v/>
      </c>
    </row>
    <row r="12">
      <c r="A12" s="2">
        <f>'Recommended Candidates'!A5</f>
        <v/>
      </c>
      <c r="B12" s="3">
        <f>'Recommended Candidates'!C5</f>
        <v/>
      </c>
      <c r="C12" s="4">
        <f>'Recommended Candidates'!E5</f>
        <v/>
      </c>
      <c r="D12" s="2">
        <f>'Recommended Candidates'!M5</f>
        <v/>
      </c>
    </row>
    <row r="13">
      <c r="A13" s="6">
        <f>'Recommended Candidates'!A6</f>
        <v/>
      </c>
      <c r="B13" s="7">
        <f>'Recommended Candidates'!C6</f>
        <v/>
      </c>
      <c r="C13" s="8">
        <f>'Recommended Candidates'!E6</f>
        <v/>
      </c>
      <c r="D13" s="6">
        <f>'Recommended Candidates'!M6</f>
        <v/>
      </c>
    </row>
    <row r="15">
      <c r="A15" s="16" t="inlineStr">
        <is>
          <t>Hiring Funnel Stages</t>
        </is>
      </c>
    </row>
    <row r="16">
      <c r="A16" s="1" t="inlineStr">
        <is>
          <t>Funnel Stage</t>
        </is>
      </c>
      <c r="B16" s="1" t="inlineStr">
        <is>
          <t>Candidate Volume</t>
        </is>
      </c>
    </row>
    <row r="17">
      <c r="A17" s="7" t="inlineStr">
        <is>
          <t>1. Screened Pool</t>
        </is>
      </c>
      <c r="B17" s="15" t="n">
        <v>100000</v>
      </c>
    </row>
    <row r="18">
      <c r="A18" s="3" t="inlineStr">
        <is>
          <t>2. Considered Fit</t>
        </is>
      </c>
      <c r="B18" s="14">
        <f>COUNTIF('Recommended Candidates'!E$2:E$101, "&gt;=50") + 850</f>
        <v/>
      </c>
    </row>
    <row r="19">
      <c r="A19" s="7" t="inlineStr">
        <is>
          <t>3. Shortlisted</t>
        </is>
      </c>
      <c r="B19" s="15">
        <f>COUNTA('Recommended Candidates'!B2:B101)</f>
        <v/>
      </c>
    </row>
    <row r="20">
      <c r="A20" s="3" t="inlineStr">
        <is>
          <t>4. Strong Hires</t>
        </is>
      </c>
      <c r="B20" s="14">
        <f>COUNTIF('Recommended Candidates'!M$2:M$101, "Strong Hire")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2026-07-02T16:25:41Z</dcterms:created>
  <dcterms:modified xsi:type="dcterms:W3CDTF">2026-07-02T16:25:41Z</dcterms:modified>
</cp:coreProperties>
</file>